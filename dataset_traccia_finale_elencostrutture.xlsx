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ciob\Desktop\progetto w4d2\"/>
    </mc:Choice>
  </mc:AlternateContent>
  <xr:revisionPtr revIDLastSave="0" documentId="13_ncr:1_{96370296-1B40-4D76-84E2-057884848EE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trutture ricettive" sheetId="1" r:id="rId1"/>
    <sheet name="RICERCA" sheetId="2" r:id="rId2"/>
  </sheets>
  <externalReferences>
    <externalReference r:id="rId3"/>
  </externalReferences>
  <definedNames>
    <definedName name="_xlnm._FilterDatabase" localSheetId="1" hidden="1">RICERCA!$E$3:$E$18</definedName>
    <definedName name="Categoria">'Strutture ricettive'!$A$2:$A$1048576</definedName>
    <definedName name="Città">'Strutture ricettive'!$D$2:$D$1048576</definedName>
    <definedName name="_xlnm.Criteria" localSheetId="1">RICERCA!$H$3:$H$4</definedName>
    <definedName name="Denominazione">'Strutture ricettive'!$B$2:$B$1048576</definedName>
    <definedName name="_xlnm.Extract" localSheetId="1">RICERCA!$J$3:$P$3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15" i="2" l="1"/>
  <c r="C14" i="2"/>
  <c r="C13" i="2"/>
  <c r="F7" i="2"/>
  <c r="F6" i="2"/>
  <c r="F9" i="2"/>
  <c r="F8" i="2"/>
  <c r="F18" i="2"/>
  <c r="F12" i="2"/>
  <c r="F4" i="2"/>
  <c r="F11" i="2"/>
  <c r="F13" i="2"/>
  <c r="F15" i="2"/>
  <c r="F14" i="2"/>
  <c r="F17" i="2"/>
  <c r="F5" i="2"/>
  <c r="F10" i="2"/>
  <c r="F16" i="2"/>
  <c r="C8" i="2"/>
  <c r="C7" i="2"/>
  <c r="C6" i="2"/>
  <c r="C5" i="2"/>
  <c r="C4" i="2"/>
  <c r="C9" i="2" s="1"/>
</calcChain>
</file>

<file path=xl/sharedStrings.xml><?xml version="1.0" encoding="utf-8"?>
<sst xmlns="http://schemas.openxmlformats.org/spreadsheetml/2006/main" count="38278" uniqueCount="19715">
  <si>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</si>
  <si>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</si>
  <si>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</si>
  <si>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</si>
  <si>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</si>
  <si>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</si>
  <si>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</si>
  <si>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</si>
  <si>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</si>
  <si>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</si>
  <si>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</si>
  <si>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</si>
  <si>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</si>
  <si>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</si>
  <si>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</si>
  <si>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</si>
  <si>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</si>
  <si>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</si>
  <si>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</si>
  <si>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</si>
  <si>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</si>
  <si>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</si>
  <si>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</si>
  <si>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</si>
  <si>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</si>
  <si>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</si>
  <si>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</si>
  <si>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</si>
  <si>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</si>
  <si>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</si>
  <si>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</si>
  <si>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</si>
  <si>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</si>
  <si>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</si>
  <si>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</si>
  <si>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</si>
  <si>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</si>
  <si>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</si>
  <si>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</si>
  <si>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</si>
  <si>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</si>
  <si>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</si>
  <si>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</si>
  <si>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</si>
  <si>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</si>
  <si>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</si>
  <si>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</si>
  <si>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</si>
  <si>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</si>
  <si>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</si>
  <si>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</si>
  <si>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</si>
  <si>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</si>
  <si>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</si>
  <si>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</si>
  <si>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</si>
  <si>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</si>
  <si>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</si>
  <si>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</si>
  <si>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</si>
  <si>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</si>
  <si>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</si>
  <si>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</si>
  <si>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</si>
  <si>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</si>
  <si>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</si>
  <si>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</si>
  <si>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</si>
  <si>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</si>
  <si>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</si>
  <si>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</si>
  <si>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</si>
  <si>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</si>
  <si>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</si>
  <si>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</si>
  <si>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</si>
  <si>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</si>
  <si>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</si>
  <si>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</si>
  <si>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</si>
  <si>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</si>
  <si>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</si>
  <si>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</si>
  <si>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</si>
  <si>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</si>
  <si>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</si>
  <si>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</si>
  <si>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</si>
  <si>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</si>
  <si>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</si>
  <si>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</si>
  <si>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</si>
  <si>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</si>
  <si>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</si>
  <si>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</si>
  <si>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</si>
  <si>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</si>
  <si>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</si>
  <si>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</si>
  <si>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</si>
  <si>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</si>
  <si>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</si>
  <si>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</si>
  <si>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</si>
  <si>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</si>
  <si>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</si>
  <si>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</si>
  <si>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</si>
  <si>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</si>
  <si>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</si>
  <si>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</si>
  <si>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</si>
  <si>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</si>
  <si>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</si>
  <si>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</si>
  <si>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</si>
  <si>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</si>
  <si>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</si>
  <si>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</si>
  <si>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</si>
  <si>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</si>
  <si>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</si>
  <si>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</si>
  <si>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</si>
  <si>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</si>
  <si>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</si>
  <si>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</si>
  <si>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</si>
  <si>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</si>
  <si>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</si>
  <si>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</si>
  <si>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</si>
  <si>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</si>
  <si>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</si>
  <si>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</si>
  <si>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</si>
  <si>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</si>
  <si>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</si>
  <si>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</si>
  <si>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</si>
  <si>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</si>
  <si>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</si>
  <si>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</si>
  <si>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</si>
  <si>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</si>
  <si>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</si>
  <si>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</si>
  <si>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</si>
  <si>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</si>
  <si>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</si>
  <si>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</si>
  <si>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</si>
  <si>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</si>
  <si>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</si>
  <si>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</si>
  <si>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</si>
  <si>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</si>
  <si>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</si>
  <si>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</si>
  <si>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</si>
  <si>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</si>
  <si>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</si>
  <si>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</si>
  <si>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</si>
  <si>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</si>
  <si>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</si>
  <si>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</si>
  <si>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</si>
  <si>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</si>
  <si>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</si>
  <si>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</si>
  <si>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</si>
  <si>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</si>
  <si>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</si>
  <si>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</si>
  <si>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</si>
  <si>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</si>
  <si>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</si>
  <si>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</si>
  <si>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</si>
  <si>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</si>
  <si>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</si>
  <si>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</si>
  <si>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</si>
  <si>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</si>
  <si>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</si>
  <si>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</si>
  <si>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</si>
  <si>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</si>
  <si>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</si>
  <si>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</si>
  <si>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</si>
  <si>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</si>
  <si>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</si>
  <si>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</si>
  <si>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</si>
  <si>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</si>
  <si>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</si>
  <si>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</si>
  <si>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</si>
  <si>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</si>
  <si>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</si>
  <si>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</si>
  <si>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</si>
  <si>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</si>
  <si>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</si>
  <si>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</si>
  <si>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</si>
  <si>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</si>
  <si>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</si>
  <si>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</si>
  <si>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</si>
  <si>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</si>
  <si>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</si>
  <si>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</si>
  <si>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</si>
  <si>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</si>
  <si>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</si>
  <si>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</si>
  <si>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</si>
  <si>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</si>
  <si>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</si>
  <si>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</si>
  <si>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</si>
  <si>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</si>
  <si>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</si>
  <si>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</si>
  <si>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</si>
  <si>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</si>
  <si>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</si>
  <si>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</si>
  <si>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</si>
  <si>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</si>
  <si>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</si>
  <si>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</si>
  <si>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</si>
  <si>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</si>
  <si>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</si>
  <si>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</si>
  <si>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</si>
  <si>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</si>
  <si>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</si>
  <si>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</si>
  <si>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</si>
  <si>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</si>
  <si>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</si>
  <si>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</si>
  <si>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</si>
  <si>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</si>
  <si>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</si>
  <si>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</si>
  <si>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</si>
  <si>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</si>
  <si>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</si>
  <si>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</si>
  <si>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</si>
  <si>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</si>
  <si>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</si>
  <si>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</si>
  <si>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</si>
  <si>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</si>
  <si>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</si>
  <si>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</si>
  <si>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</si>
  <si>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</si>
  <si>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</si>
  <si>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</si>
  <si>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</si>
  <si>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</si>
  <si>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</si>
  <si>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</si>
  <si>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</si>
  <si>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</si>
  <si>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</si>
  <si>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</si>
  <si>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</si>
  <si>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</si>
  <si>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</si>
  <si>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</si>
  <si>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</si>
  <si>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</si>
  <si>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</si>
  <si>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</si>
  <si>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</si>
  <si>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</si>
  <si>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</si>
  <si>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</si>
  <si>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</si>
  <si>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</si>
  <si>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</si>
  <si>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</si>
  <si>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</si>
  <si>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</si>
  <si>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</si>
  <si>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</si>
  <si>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</si>
  <si>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</si>
  <si>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</si>
  <si>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</si>
  <si>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</si>
  <si>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</si>
  <si>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</si>
  <si>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</si>
  <si>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</si>
  <si>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</si>
  <si>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</si>
  <si>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</si>
  <si>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</si>
  <si>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</si>
  <si>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</si>
  <si>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</si>
  <si>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</si>
  <si>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</si>
  <si>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</si>
  <si>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</si>
  <si>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</si>
  <si>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</si>
  <si>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</si>
  <si>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</si>
  <si>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</si>
  <si>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</si>
  <si>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</si>
  <si>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</si>
  <si>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</si>
  <si>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</si>
  <si>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</si>
  <si>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</si>
  <si>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</si>
  <si>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</si>
  <si>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</si>
  <si>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</si>
  <si>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</si>
  <si>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</si>
  <si>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</si>
  <si>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</si>
  <si>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</si>
  <si>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</si>
  <si>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</si>
  <si>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</si>
  <si>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</si>
  <si>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</si>
  <si>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</si>
  <si>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</si>
  <si>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</si>
  <si>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</si>
  <si>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</si>
  <si>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</si>
  <si>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</si>
  <si>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</si>
  <si>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</si>
  <si>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</si>
  <si>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</si>
  <si>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</si>
  <si>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</si>
  <si>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</si>
  <si>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</si>
  <si>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</si>
  <si>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</si>
  <si>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</si>
  <si>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</si>
  <si>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</si>
  <si>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</si>
  <si>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</si>
  <si>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</si>
  <si>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</si>
  <si>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</si>
  <si>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</si>
  <si>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</si>
  <si>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</si>
  <si>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</si>
  <si>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</si>
  <si>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</si>
  <si>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</si>
  <si>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</si>
  <si>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</si>
  <si>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</si>
  <si>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</si>
  <si>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</si>
  <si>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</si>
  <si>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</si>
  <si>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</si>
  <si>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</si>
  <si>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</si>
  <si>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</si>
  <si>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</si>
  <si>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</si>
  <si>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</si>
  <si>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</si>
  <si>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</si>
  <si>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</si>
  <si>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</si>
  <si>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</si>
  <si>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</si>
  <si>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</si>
  <si>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</si>
  <si>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</si>
  <si>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</si>
  <si>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</si>
  <si>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</si>
  <si>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</si>
  <si>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</si>
  <si>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</si>
  <si>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</si>
  <si>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</si>
  <si>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</si>
  <si>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</si>
  <si>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</si>
  <si>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</si>
  <si>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</si>
  <si>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</si>
  <si>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</si>
  <si>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</si>
  <si>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</si>
  <si>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</si>
  <si>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</si>
  <si>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</si>
  <si>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</si>
  <si>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</si>
  <si>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</si>
  <si>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</si>
  <si>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</si>
  <si>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</si>
  <si>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</si>
  <si>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</si>
  <si>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</si>
  <si>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</si>
  <si>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</si>
  <si>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</si>
  <si>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</si>
  <si>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</si>
  <si>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</si>
  <si>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</si>
  <si>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</si>
  <si>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</si>
  <si>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</si>
  <si>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</si>
  <si>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</si>
  <si>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</si>
  <si>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</si>
  <si>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</si>
  <si>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</si>
  <si>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</si>
  <si>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</si>
  <si>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</si>
  <si>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</si>
  <si>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</si>
  <si>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</si>
  <si>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</si>
  <si>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</si>
  <si>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</si>
  <si>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</si>
  <si>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</si>
  <si>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</si>
  <si>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</si>
  <si>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</si>
  <si>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</si>
  <si>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</si>
  <si>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</si>
  <si>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</si>
  <si>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</si>
  <si>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</si>
  <si>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</si>
  <si>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</si>
  <si>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</si>
  <si>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</si>
  <si>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</si>
  <si>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</si>
  <si>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</si>
  <si>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</si>
  <si>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</si>
  <si>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</si>
  <si>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</si>
  <si>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</si>
  <si>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</si>
  <si>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</si>
  <si>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</si>
  <si>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</si>
  <si>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</si>
  <si>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</si>
  <si>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</si>
  <si>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</si>
  <si>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</si>
  <si>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</si>
  <si>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</si>
  <si>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</si>
  <si>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</si>
  <si>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</si>
  <si>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</si>
  <si>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</si>
  <si>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</si>
  <si>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</si>
  <si>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</si>
  <si>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</si>
  <si>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</si>
  <si>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</si>
  <si>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</si>
  <si>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</si>
  <si>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</si>
  <si>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</si>
  <si>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</si>
  <si>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</si>
  <si>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</si>
  <si>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</si>
  <si>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</si>
  <si>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</si>
  <si>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</si>
  <si>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</si>
  <si>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</si>
  <si>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</si>
  <si>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</si>
  <si>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</si>
  <si>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</si>
  <si>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</si>
  <si>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</si>
  <si>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</si>
  <si>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</si>
  <si>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</si>
  <si>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</si>
  <si>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</si>
  <si>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</si>
  <si>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</si>
  <si>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</si>
  <si>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</si>
  <si>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</si>
  <si>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</si>
  <si>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</si>
  <si>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</si>
  <si>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</si>
  <si>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</si>
  <si>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</si>
  <si>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</si>
  <si>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</si>
  <si>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</si>
  <si>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</si>
  <si>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</si>
  <si>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</si>
  <si>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</si>
  <si>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</si>
  <si>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</si>
  <si>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</si>
  <si>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</si>
  <si>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</si>
  <si>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</si>
  <si>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</si>
  <si>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</si>
  <si>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</si>
  <si>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</si>
  <si>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</si>
  <si>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</si>
  <si>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</si>
  <si>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</si>
  <si>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</si>
  <si>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</si>
  <si>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</si>
  <si>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</si>
  <si>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</si>
  <si>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</si>
  <si>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</si>
  <si>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</si>
  <si>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</si>
  <si>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</si>
  <si>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</si>
  <si>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</si>
  <si>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</si>
  <si>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</si>
  <si>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</si>
  <si>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</si>
  <si>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</si>
  <si>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</si>
  <si>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</si>
  <si>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</si>
  <si>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</si>
  <si>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</si>
  <si>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</si>
  <si>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</si>
  <si>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</si>
  <si>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</si>
  <si>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</si>
  <si>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</si>
  <si>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</si>
  <si>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</si>
  <si>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</si>
  <si>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</si>
  <si>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</si>
  <si>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</si>
  <si>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</si>
  <si>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</si>
  <si>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</si>
  <si>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</si>
  <si>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</si>
  <si>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</si>
  <si>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</si>
  <si>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</si>
  <si>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</si>
  <si>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</si>
  <si>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</si>
  <si>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</si>
  <si>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</si>
  <si>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</si>
  <si>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</si>
  <si>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</si>
  <si>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</si>
  <si>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</si>
  <si>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</si>
  <si>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</si>
  <si>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</si>
  <si>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</si>
  <si>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</si>
  <si>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</si>
  <si>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</si>
  <si>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</si>
  <si>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</si>
  <si>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</si>
  <si>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</si>
  <si>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</si>
  <si>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</si>
  <si>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</si>
  <si>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</si>
  <si>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</si>
  <si>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</si>
  <si>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</si>
  <si>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</si>
  <si>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</si>
  <si>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</si>
  <si>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</si>
  <si>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</si>
  <si>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</si>
  <si>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</si>
  <si>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</si>
  <si>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</si>
  <si>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</si>
  <si>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</si>
  <si>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</si>
  <si>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</si>
  <si>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</si>
  <si>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</si>
  <si>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</si>
  <si>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</si>
  <si>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</si>
  <si>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</si>
  <si>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</si>
  <si>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</si>
  <si>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</si>
  <si>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</si>
  <si>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</si>
  <si>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</si>
  <si>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</si>
  <si>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</si>
  <si>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</si>
  <si>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</si>
  <si>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</si>
  <si>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</si>
  <si>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</si>
  <si>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</si>
  <si>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</si>
  <si>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</si>
  <si>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</si>
  <si>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</si>
  <si>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</si>
  <si>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</si>
  <si>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</si>
  <si>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</si>
  <si>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</si>
  <si>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</si>
  <si>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</si>
  <si>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</si>
  <si>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</si>
  <si>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</si>
  <si>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</si>
  <si>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</si>
  <si>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</si>
  <si>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</si>
  <si>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</si>
  <si>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</si>
  <si>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</si>
  <si>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</si>
  <si>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</si>
  <si>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</si>
  <si>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</si>
  <si>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</si>
  <si>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</si>
  <si>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</si>
  <si>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</si>
  <si>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</si>
  <si>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</si>
  <si>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</si>
  <si>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</si>
  <si>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</si>
  <si>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</si>
  <si>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</si>
  <si>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</si>
  <si>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</si>
  <si>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</si>
  <si>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</si>
  <si>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</si>
  <si>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</si>
  <si>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</si>
  <si>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</si>
  <si>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</si>
  <si>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</si>
  <si>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</si>
  <si>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</si>
  <si>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</si>
  <si>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</si>
  <si>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</si>
  <si>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</si>
  <si>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</si>
  <si>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</si>
  <si>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</si>
  <si>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</si>
  <si>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</si>
  <si>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</si>
  <si>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</si>
  <si>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</si>
  <si>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</si>
  <si>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</si>
  <si>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</si>
  <si>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</si>
  <si>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</si>
  <si>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</si>
  <si>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</si>
  <si>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</si>
  <si>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</si>
  <si>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</si>
  <si>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</si>
  <si>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</si>
  <si>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</si>
  <si>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</si>
  <si>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</si>
  <si>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</si>
  <si>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</si>
  <si>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</si>
  <si>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</si>
  <si>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</si>
  <si>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</si>
  <si>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</si>
  <si>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</si>
  <si>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</si>
  <si>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</si>
  <si>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</si>
  <si>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</si>
  <si>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</si>
  <si>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</si>
  <si>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</si>
  <si>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</si>
  <si>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</si>
  <si>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</si>
  <si>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</si>
  <si>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</si>
  <si>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</si>
  <si>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</si>
  <si>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</si>
  <si>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</si>
  <si>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</si>
  <si>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</si>
  <si>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</si>
  <si>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</si>
  <si>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</si>
  <si>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</si>
  <si>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</si>
  <si>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</si>
  <si>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</si>
  <si>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</si>
  <si>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</si>
  <si>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</si>
  <si>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</si>
  <si>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</si>
  <si>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</si>
  <si>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</si>
  <si>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</si>
  <si>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</si>
  <si>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</si>
  <si>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</si>
  <si>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</si>
  <si>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</si>
  <si>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</si>
  <si>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</si>
  <si>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</si>
  <si>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</si>
  <si>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</si>
  <si>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</si>
  <si>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</si>
  <si>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</si>
  <si>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</si>
  <si>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</si>
  <si>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</si>
  <si>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</si>
  <si>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</si>
  <si>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</si>
  <si>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</si>
  <si>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</si>
  <si>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</si>
  <si>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</si>
  <si>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</si>
  <si>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</si>
  <si>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</si>
  <si>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</si>
  <si>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</si>
  <si>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</si>
  <si>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</si>
  <si>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</si>
  <si>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</si>
  <si>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</si>
  <si>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</si>
  <si>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</si>
  <si>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</si>
  <si>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</si>
  <si>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</si>
  <si>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</si>
  <si>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</si>
  <si>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</si>
  <si>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</si>
  <si>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</si>
  <si>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</si>
  <si>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</si>
  <si>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</si>
  <si>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</si>
  <si>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</si>
  <si>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</si>
  <si>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</si>
  <si>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</si>
  <si>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</si>
  <si>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</si>
  <si>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</si>
  <si>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</si>
  <si>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</si>
  <si>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</si>
  <si>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</si>
  <si>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</si>
  <si>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</si>
  <si>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</si>
  <si>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</si>
  <si>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</si>
  <si>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</si>
  <si>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</si>
  <si>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</si>
  <si>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</si>
  <si>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</si>
  <si>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</si>
  <si>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</si>
  <si>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</si>
  <si>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</si>
  <si>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</si>
  <si>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</si>
  <si>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</si>
  <si>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</si>
  <si>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</si>
  <si>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</si>
  <si>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</si>
  <si>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</si>
  <si>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</si>
  <si>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</si>
  <si>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</si>
  <si>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</si>
  <si>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</si>
  <si>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</si>
  <si>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</si>
  <si>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</si>
  <si>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</si>
  <si>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</si>
  <si>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</si>
  <si>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</si>
  <si>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</si>
  <si>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</si>
  <si>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</si>
  <si>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</si>
  <si>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</si>
  <si>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</si>
  <si>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</si>
  <si>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</si>
  <si>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</si>
  <si>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</si>
  <si>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</si>
  <si>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</si>
  <si>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</si>
  <si>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</si>
  <si>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</si>
  <si>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</si>
  <si>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</si>
  <si>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</si>
  <si>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</si>
  <si>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</si>
  <si>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</si>
  <si>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</si>
  <si>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</si>
  <si>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</si>
  <si>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</si>
  <si>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</si>
  <si>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</si>
  <si>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</si>
  <si>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</si>
  <si>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</si>
  <si>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</si>
  <si>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</si>
  <si>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</si>
  <si>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</si>
  <si>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</si>
  <si>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</si>
  <si>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</si>
  <si>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</si>
  <si>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</si>
  <si>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</si>
  <si>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</si>
  <si>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</si>
  <si>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</si>
  <si>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</si>
  <si>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</si>
  <si>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</si>
  <si>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</si>
  <si>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</si>
  <si>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</si>
  <si>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</si>
  <si>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</si>
  <si>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</si>
  <si>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</si>
  <si>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</si>
  <si>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</si>
  <si>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</si>
  <si>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</si>
  <si>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</si>
  <si>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</si>
  <si>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</si>
  <si>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</si>
  <si>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</si>
  <si>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</si>
  <si>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</si>
  <si>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</si>
  <si>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</si>
  <si>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</si>
  <si>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</si>
  <si>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</si>
  <si>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</si>
  <si>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</si>
  <si>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</si>
  <si>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</si>
  <si>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</si>
  <si>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</si>
  <si>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</si>
  <si>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</si>
  <si>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</si>
  <si>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</si>
  <si>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</si>
  <si>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</si>
  <si>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</si>
  <si>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</si>
  <si>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</si>
  <si>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</si>
  <si>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</si>
  <si>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</si>
  <si>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</si>
  <si>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</si>
  <si>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</si>
  <si>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</si>
  <si>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</si>
  <si>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</si>
  <si>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</si>
  <si>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</si>
  <si>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</si>
  <si>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</si>
  <si>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</si>
  <si>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</si>
  <si>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</si>
  <si>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</si>
  <si>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</si>
  <si>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</si>
  <si>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</si>
  <si>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</si>
  <si>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</si>
  <si>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</si>
  <si>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</si>
  <si>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</si>
  <si>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</si>
  <si>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</si>
  <si>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</si>
  <si>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</si>
  <si>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</si>
  <si>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</si>
  <si>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</si>
  <si>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</si>
  <si>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</si>
  <si>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</si>
  <si>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</si>
  <si>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</si>
  <si>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</si>
  <si>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</si>
  <si>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</si>
  <si>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</si>
  <si>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</si>
  <si>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</si>
  <si>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</si>
  <si>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</si>
  <si>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</si>
  <si>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</si>
  <si>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</si>
  <si>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</si>
  <si>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</si>
  <si>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</si>
  <si>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</si>
  <si>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</si>
  <si>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</si>
  <si>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</si>
  <si>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</si>
  <si>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</si>
  <si>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</si>
  <si>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</si>
  <si>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</si>
  <si>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</si>
  <si>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</si>
  <si>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</si>
  <si>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</si>
  <si>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</si>
  <si>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</si>
  <si>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</si>
  <si>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</si>
  <si>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</si>
  <si>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</si>
  <si>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</si>
  <si>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</si>
  <si>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</si>
  <si>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</si>
  <si>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</si>
  <si>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</si>
  <si>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</si>
  <si>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</si>
  <si>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</si>
  <si>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</si>
  <si>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</si>
  <si>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</si>
  <si>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</si>
  <si>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</si>
  <si>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</si>
  <si>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</si>
  <si>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</si>
  <si>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</si>
  <si>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</si>
  <si>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</si>
  <si>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</si>
  <si>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</si>
  <si>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</si>
  <si>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</si>
  <si>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</si>
  <si>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</si>
  <si>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</si>
  <si>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</si>
  <si>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</si>
  <si>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</si>
  <si>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</si>
  <si>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</si>
  <si>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</si>
  <si>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</si>
  <si>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</si>
  <si>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</si>
  <si>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</si>
  <si>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</si>
  <si>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</si>
  <si>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</si>
  <si>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</si>
  <si>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</si>
  <si>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</si>
  <si>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</si>
  <si>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</si>
  <si>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</si>
  <si>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</si>
  <si>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</si>
  <si>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</si>
  <si>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</si>
  <si>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</si>
  <si>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</si>
  <si>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</si>
  <si>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</si>
  <si>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</si>
  <si>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</si>
  <si>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</si>
  <si>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</si>
  <si>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</si>
  <si>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</si>
  <si>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</si>
  <si>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</si>
  <si>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</si>
  <si>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</si>
  <si>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</si>
  <si>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</si>
  <si>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</si>
  <si>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</si>
  <si>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</si>
  <si>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</si>
  <si>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</si>
  <si>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</si>
  <si>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</si>
  <si>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</si>
  <si>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</si>
  <si>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</si>
  <si>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</si>
  <si>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</si>
  <si>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</si>
  <si>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</si>
  <si>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</si>
  <si>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</si>
  <si>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</si>
  <si>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</si>
  <si>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</si>
  <si>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</si>
  <si>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</si>
  <si>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</si>
  <si>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</si>
  <si>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</si>
  <si>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</si>
  <si>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</si>
  <si>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</si>
  <si>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</si>
  <si>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</si>
  <si>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</si>
  <si>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</si>
  <si>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</si>
  <si>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</si>
  <si>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</si>
  <si>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</si>
  <si>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</si>
  <si>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</si>
  <si>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</si>
  <si>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</si>
  <si>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</si>
  <si>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</si>
  <si>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</si>
  <si>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</si>
  <si>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</si>
  <si>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</si>
  <si>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</si>
  <si>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</si>
  <si>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</si>
  <si>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</si>
  <si>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</si>
  <si>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</si>
  <si>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</si>
  <si>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</si>
  <si>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</si>
  <si>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</si>
  <si>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</si>
  <si>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</si>
  <si>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</si>
  <si>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</si>
  <si>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</si>
  <si>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</si>
  <si>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</si>
  <si>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</si>
  <si>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</si>
  <si>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</si>
  <si>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</si>
  <si>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</si>
  <si>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</si>
  <si>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</si>
  <si>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</si>
  <si>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</si>
  <si>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</si>
  <si>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</si>
  <si>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</si>
  <si>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</si>
  <si>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</si>
  <si>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</si>
  <si>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</si>
  <si>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</si>
  <si>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</si>
  <si>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</si>
  <si>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</si>
  <si>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</si>
  <si>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</si>
  <si>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</si>
  <si>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</si>
  <si>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</si>
  <si>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</si>
  <si>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</si>
  <si>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</si>
  <si>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</si>
  <si>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</si>
  <si>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</si>
  <si>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</si>
  <si>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</si>
  <si>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</si>
  <si>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</si>
  <si>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</si>
  <si>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</si>
  <si>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</si>
  <si>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</si>
  <si>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</si>
  <si>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</si>
  <si>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</si>
  <si>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</si>
  <si>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</si>
  <si>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</si>
  <si>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</si>
  <si>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</si>
  <si>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</si>
  <si>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</si>
  <si>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</si>
  <si>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</si>
  <si>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</si>
  <si>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</si>
  <si>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</si>
  <si>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</si>
  <si>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</si>
  <si>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</si>
  <si>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</si>
  <si>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</si>
  <si>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</si>
  <si>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</si>
  <si>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</si>
  <si>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</si>
  <si>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</si>
  <si>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</si>
  <si>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</si>
  <si>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</si>
  <si>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</si>
  <si>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</si>
  <si>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</si>
  <si>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</si>
  <si>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</si>
  <si>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</si>
  <si>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</si>
  <si>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</si>
  <si>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</si>
  <si>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</si>
  <si>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</si>
  <si>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</si>
  <si>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</si>
  <si>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</si>
  <si>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</si>
  <si>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</si>
  <si>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</si>
  <si>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</si>
  <si>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</si>
  <si>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</si>
  <si>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</si>
  <si>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</si>
  <si>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</si>
  <si>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</si>
  <si>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</si>
  <si>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</si>
  <si>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</si>
  <si>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</si>
  <si>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</si>
  <si>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</si>
  <si>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</si>
  <si>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</si>
  <si>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</si>
  <si>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</si>
  <si>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</si>
  <si>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</si>
  <si>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</si>
  <si>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</si>
  <si>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</si>
  <si>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</si>
  <si>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</si>
  <si>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</si>
  <si>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</si>
  <si>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</si>
  <si>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</si>
  <si>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</si>
  <si>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</si>
  <si>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</si>
  <si>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</si>
  <si>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</si>
  <si>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</si>
  <si>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</si>
  <si>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</si>
  <si>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</si>
  <si>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</si>
  <si>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</si>
  <si>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</si>
  <si>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</si>
  <si>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</si>
  <si>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</si>
  <si>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</si>
  <si>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</si>
  <si>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</si>
  <si>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</si>
  <si>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</si>
  <si>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</si>
  <si>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</si>
  <si>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</si>
  <si>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</si>
  <si>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</si>
  <si>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</si>
  <si>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</si>
  <si>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</si>
  <si>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</si>
  <si>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</si>
  <si>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</si>
  <si>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</si>
  <si>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</si>
  <si>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</si>
  <si>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</si>
  <si>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</si>
  <si>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</si>
  <si>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</si>
  <si>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</si>
  <si>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</si>
  <si>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</si>
  <si>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</si>
  <si>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</si>
  <si>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</si>
  <si>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</si>
  <si>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</si>
  <si>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</si>
  <si>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</si>
  <si>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</si>
  <si>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</si>
  <si>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</si>
  <si>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</si>
  <si>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</si>
  <si>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</si>
  <si>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</si>
  <si>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</si>
  <si>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</si>
  <si>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</si>
  <si>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</si>
  <si>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</si>
  <si>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</si>
  <si>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</si>
  <si>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</si>
  <si>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</si>
  <si>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</si>
  <si>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</si>
  <si>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</si>
  <si>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</si>
  <si>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</si>
  <si>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</si>
  <si>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</si>
  <si>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</si>
  <si>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</si>
  <si>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</si>
  <si>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</si>
  <si>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</si>
  <si>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</si>
  <si>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</si>
  <si>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</si>
  <si>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</si>
  <si>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</si>
  <si>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</si>
  <si>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</si>
  <si>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</si>
  <si>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</si>
  <si>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</si>
  <si>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</si>
  <si>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</si>
  <si>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</si>
  <si>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</si>
  <si>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</si>
  <si>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</si>
  <si>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</si>
  <si>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</si>
  <si>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</si>
  <si>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</si>
  <si>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</si>
  <si>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</si>
  <si>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</si>
  <si>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</si>
  <si>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</si>
  <si>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</si>
  <si>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</si>
  <si>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</si>
  <si>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</si>
  <si>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</si>
  <si>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</si>
  <si>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</si>
  <si>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</si>
  <si>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</si>
  <si>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</si>
  <si>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</si>
  <si>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</si>
  <si>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</si>
  <si>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</si>
  <si>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</si>
  <si>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</si>
  <si>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</si>
  <si>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</si>
  <si>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</si>
  <si>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</si>
  <si>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</si>
  <si>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</si>
  <si>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</si>
  <si>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</si>
  <si>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</si>
  <si>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</si>
  <si>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</si>
  <si>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</si>
  <si>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</si>
  <si>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</si>
  <si>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</si>
  <si>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</si>
  <si>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</si>
  <si>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</si>
  <si>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</si>
  <si>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</si>
  <si>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</si>
  <si>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</si>
  <si>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</si>
  <si>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</si>
  <si>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</si>
  <si>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</si>
  <si>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</si>
  <si>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</si>
  <si>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</si>
  <si>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</si>
  <si>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</si>
  <si>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</si>
  <si>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</si>
  <si>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</si>
  <si>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</si>
  <si>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</si>
  <si>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</si>
  <si>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</si>
  <si>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</si>
  <si>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</si>
  <si>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</si>
  <si>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</si>
  <si>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</si>
  <si>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</si>
  <si>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</si>
  <si>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</si>
  <si>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</si>
  <si>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</si>
  <si>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</si>
  <si>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</si>
  <si>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</si>
  <si>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</si>
  <si>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</si>
  <si>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</si>
  <si>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</si>
  <si>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</si>
  <si>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</si>
  <si>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</si>
  <si>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</si>
  <si>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</si>
  <si>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</si>
  <si>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</si>
  <si>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</si>
  <si>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</si>
  <si>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</si>
  <si>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</si>
  <si>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</si>
  <si>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</si>
  <si>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</si>
  <si>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</si>
  <si>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</si>
  <si>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</si>
  <si>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</si>
  <si>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</si>
  <si>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</si>
  <si>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</si>
  <si>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</si>
  <si>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</si>
  <si>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</si>
  <si>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</si>
  <si>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</si>
  <si>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</si>
  <si>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</si>
  <si>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</si>
  <si>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</si>
  <si>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</si>
  <si>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</si>
  <si>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</si>
  <si>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</si>
  <si>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</si>
  <si>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</si>
  <si>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</si>
  <si>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</si>
  <si>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</si>
  <si>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</si>
  <si>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</si>
  <si>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</si>
  <si>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</si>
  <si>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</si>
  <si>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</si>
  <si>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</si>
  <si>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</si>
  <si>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</si>
  <si>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</si>
  <si>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</si>
  <si>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</si>
  <si>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</si>
  <si>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</si>
  <si>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</si>
  <si>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</si>
  <si>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</si>
  <si>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</si>
  <si>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</si>
  <si>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</si>
  <si>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</si>
  <si>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</si>
  <si>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</si>
  <si>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</si>
  <si>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</si>
  <si>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</si>
  <si>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</si>
  <si>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</si>
  <si>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</si>
  <si>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</si>
  <si>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</si>
  <si>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</si>
  <si>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</si>
  <si>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</si>
  <si>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</si>
  <si>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</si>
  <si>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</si>
  <si>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</si>
  <si>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</si>
  <si>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</si>
  <si>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</si>
  <si>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</si>
  <si>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</si>
  <si>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</si>
  <si>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</si>
  <si>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</si>
  <si>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</si>
  <si>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</si>
  <si>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</si>
  <si>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</si>
  <si>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</si>
  <si>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</si>
  <si>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</si>
  <si>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</si>
  <si>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</si>
  <si>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</si>
  <si>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</si>
  <si>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</si>
  <si>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</si>
  <si>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</si>
  <si>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</si>
  <si>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</si>
  <si>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</si>
  <si>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</si>
  <si>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</si>
  <si>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</si>
  <si>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</si>
  <si>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</si>
  <si>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</si>
  <si>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</si>
  <si>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</si>
  <si>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</si>
  <si>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</si>
  <si>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</si>
  <si>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</si>
  <si>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</si>
  <si>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</si>
  <si>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</si>
  <si>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</si>
  <si>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</si>
  <si>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</si>
  <si>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</si>
  <si>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</si>
  <si>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</si>
  <si>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</si>
  <si>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</si>
  <si>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</si>
  <si>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</si>
  <si>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</si>
  <si>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</si>
  <si>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</si>
  <si>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</si>
  <si>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</si>
  <si>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</si>
  <si>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</si>
  <si>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</si>
  <si>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</si>
  <si>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</si>
  <si>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</si>
  <si>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</si>
  <si>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</si>
  <si>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</si>
  <si>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</si>
  <si>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</si>
  <si>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</si>
  <si>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</si>
  <si>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</si>
  <si>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</si>
  <si>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</si>
  <si>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</si>
  <si>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</si>
  <si>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</si>
  <si>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</si>
  <si>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</si>
  <si>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</si>
  <si>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</si>
  <si>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</si>
  <si>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</si>
  <si>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</si>
  <si>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</si>
  <si>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</si>
  <si>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</si>
  <si>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</si>
  <si>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</si>
  <si>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</si>
  <si>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</si>
  <si>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</si>
  <si>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</si>
  <si>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</si>
  <si>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</si>
  <si>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</si>
  <si>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</si>
  <si>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</si>
  <si>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</si>
  <si>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</si>
  <si>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</si>
  <si>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</si>
  <si>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</si>
  <si>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</si>
  <si>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</si>
  <si>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</si>
  <si>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</si>
  <si>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</si>
  <si>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</si>
  <si>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</si>
  <si>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</si>
  <si>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</si>
  <si>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</si>
  <si>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</si>
  <si>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</si>
  <si>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</si>
  <si>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</si>
  <si>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</si>
  <si>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</si>
  <si>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</si>
  <si>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</si>
  <si>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</si>
  <si>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</si>
  <si>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</si>
  <si>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</si>
  <si>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</si>
  <si>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</si>
  <si>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</si>
  <si>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</si>
  <si>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</si>
  <si>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</si>
  <si>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</si>
  <si>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</si>
  <si>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</si>
  <si>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</si>
  <si>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</si>
  <si>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</si>
  <si>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</si>
  <si>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</si>
  <si>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</si>
  <si>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</si>
  <si>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</si>
  <si>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</si>
  <si>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</si>
  <si>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</si>
  <si>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</si>
  <si>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</si>
  <si>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</si>
  <si>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</si>
  <si>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</si>
  <si>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</si>
  <si>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</si>
  <si>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</si>
  <si>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</si>
  <si>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</si>
  <si>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</si>
  <si>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</si>
  <si>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</si>
  <si>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</si>
  <si>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</si>
  <si>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</si>
  <si>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</si>
  <si>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</si>
  <si>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</si>
  <si>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</si>
  <si>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</si>
  <si>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</si>
  <si>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</si>
  <si>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</si>
  <si>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</si>
  <si>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</si>
  <si>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</si>
  <si>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</si>
  <si>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</si>
  <si>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</si>
  <si>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</si>
  <si>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</si>
  <si>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</si>
  <si>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</si>
  <si>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</si>
  <si>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</si>
  <si>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</si>
  <si>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</si>
  <si>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</si>
  <si>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</si>
  <si>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</si>
  <si>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</si>
  <si>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</si>
  <si>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</si>
  <si>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</si>
  <si>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</si>
  <si>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</si>
  <si>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</si>
  <si>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</si>
  <si>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</si>
  <si>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</si>
  <si>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</si>
  <si>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</si>
  <si>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</si>
  <si>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</si>
  <si>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</si>
  <si>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</si>
  <si>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</si>
  <si>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</si>
  <si>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</si>
  <si>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</si>
  <si>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</si>
  <si>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</si>
  <si>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</si>
  <si>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</si>
  <si>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</si>
  <si>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</si>
  <si>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</si>
  <si>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</si>
  <si>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</si>
  <si>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</si>
  <si>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</si>
  <si>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</si>
  <si>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</si>
  <si>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</si>
  <si>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</si>
  <si>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</si>
  <si>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</si>
  <si>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</si>
  <si>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</si>
  <si>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</si>
  <si>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</si>
  <si>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</si>
  <si>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</si>
  <si>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</si>
  <si>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</si>
  <si>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</si>
  <si>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</si>
  <si>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</si>
  <si>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</si>
  <si>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</si>
  <si>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</si>
  <si>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</si>
  <si>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</si>
  <si>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</si>
  <si>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</si>
  <si>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</si>
  <si>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</si>
  <si>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</si>
  <si>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</si>
  <si>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</si>
  <si>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</si>
  <si>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</si>
  <si>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</si>
  <si>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</si>
  <si>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</si>
  <si>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</si>
  <si>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</si>
  <si>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</si>
  <si>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</si>
  <si>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</si>
  <si>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</si>
  <si>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</si>
  <si>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</si>
  <si>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</si>
  <si>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</si>
  <si>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</si>
  <si>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</si>
  <si>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</si>
  <si>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</si>
  <si>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</si>
  <si>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</si>
  <si>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</si>
  <si>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</si>
  <si>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</si>
  <si>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</si>
  <si>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</si>
  <si>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</si>
  <si>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</si>
  <si>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</si>
  <si>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</si>
  <si>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</si>
  <si>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</si>
  <si>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</si>
  <si>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</si>
  <si>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</si>
  <si>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</si>
  <si>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</si>
  <si>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</si>
  <si>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</si>
  <si>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</si>
  <si>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</si>
  <si>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</si>
  <si>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</si>
  <si>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</si>
  <si>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</si>
  <si>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</si>
  <si>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</si>
  <si>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</si>
  <si>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</si>
  <si>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</si>
  <si>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</si>
  <si>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</si>
  <si>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</si>
  <si>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</si>
  <si>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</si>
  <si>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</si>
  <si>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</si>
  <si>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</si>
  <si>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</si>
  <si>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</si>
  <si>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</si>
  <si>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</si>
  <si>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</si>
  <si>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</si>
  <si>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</si>
  <si>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</si>
  <si>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</si>
  <si>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</si>
  <si>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</si>
  <si>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</si>
  <si>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</si>
  <si>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</si>
  <si>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</si>
  <si>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</si>
  <si>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</si>
  <si>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</si>
  <si>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</si>
  <si>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</si>
  <si>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</si>
  <si>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</si>
  <si>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</si>
  <si>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</si>
  <si>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</si>
  <si>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</si>
  <si>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</si>
  <si>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</si>
  <si>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</si>
  <si>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</si>
  <si>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</si>
  <si>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</si>
  <si>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</si>
  <si>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</si>
  <si>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</si>
  <si>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</si>
  <si>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</si>
  <si>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</si>
  <si>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</si>
  <si>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</si>
  <si>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</si>
  <si>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</si>
  <si>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</si>
  <si>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</si>
  <si>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</si>
  <si>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</si>
  <si>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</si>
  <si>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</si>
  <si>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</si>
  <si>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</si>
  <si>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</si>
  <si>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</si>
  <si>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</si>
  <si>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</si>
  <si>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</si>
  <si>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</si>
  <si>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</si>
  <si>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</si>
  <si>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</si>
  <si>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</si>
  <si>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</si>
  <si>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</si>
  <si>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</si>
  <si>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</si>
  <si>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</si>
  <si>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</si>
  <si>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</si>
  <si>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</si>
  <si>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</si>
  <si>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</si>
  <si>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</si>
  <si>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</si>
  <si>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</si>
  <si>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</si>
  <si>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</si>
  <si>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</si>
  <si>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</si>
  <si>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</si>
  <si>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</si>
  <si>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</si>
  <si>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</si>
  <si>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</si>
  <si>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</si>
  <si>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</si>
  <si>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</si>
  <si>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</si>
  <si>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</si>
  <si>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</si>
  <si>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</si>
  <si>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</si>
  <si>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</si>
  <si>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</si>
  <si>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</si>
  <si>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</si>
  <si>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</si>
  <si>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</si>
  <si>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</si>
  <si>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</si>
  <si>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</si>
  <si>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</si>
  <si>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</si>
  <si>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</si>
  <si>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</si>
  <si>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</si>
  <si>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</si>
  <si>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</si>
  <si>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</si>
  <si>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</si>
  <si>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</si>
  <si>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</si>
  <si>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</si>
  <si>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</si>
  <si>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</si>
  <si>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</si>
  <si>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</si>
  <si>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</si>
  <si>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</si>
  <si>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</si>
  <si>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</si>
  <si>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</si>
  <si>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</si>
  <si>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</si>
  <si>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</si>
  <si>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</si>
  <si>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</si>
  <si>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</si>
  <si>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</si>
  <si>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</si>
  <si>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</si>
  <si>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</si>
  <si>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</si>
  <si>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</si>
  <si>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</si>
  <si>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</si>
  <si>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</si>
  <si>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</si>
  <si>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</si>
  <si>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</si>
  <si>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</si>
  <si>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</si>
  <si>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</si>
  <si>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</si>
  <si>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</si>
  <si>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</si>
  <si>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</si>
  <si>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</si>
  <si>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</si>
  <si>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</si>
  <si>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</si>
  <si>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</si>
  <si>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</si>
  <si>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</si>
  <si>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</si>
  <si>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</si>
  <si>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</si>
  <si>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</si>
  <si>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</si>
  <si>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</si>
  <si>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</si>
  <si>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</si>
  <si>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</si>
  <si>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</si>
  <si>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</si>
  <si>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</si>
  <si>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</si>
  <si>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</si>
  <si>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</si>
  <si>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</si>
  <si>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</si>
  <si>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</si>
  <si>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</si>
  <si>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</si>
  <si>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</si>
  <si>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</si>
  <si>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</si>
  <si>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</si>
  <si>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</si>
  <si>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</si>
  <si>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</si>
  <si>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</si>
  <si>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</si>
  <si>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</si>
  <si>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</si>
  <si>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</si>
  <si>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</si>
  <si>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</si>
  <si>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</si>
  <si>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</si>
  <si>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</si>
  <si>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</si>
  <si>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</si>
  <si>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</si>
  <si>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</si>
  <si>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</si>
  <si>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</si>
  <si>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</si>
  <si>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</si>
  <si>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</si>
  <si>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</si>
  <si>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</si>
  <si>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</si>
  <si>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</si>
  <si>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</si>
  <si>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</si>
  <si>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</si>
  <si>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</si>
  <si>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</si>
  <si>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</si>
  <si>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</si>
  <si>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</si>
  <si>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</si>
  <si>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</si>
  <si>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</si>
  <si>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</si>
  <si>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</si>
  <si>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</si>
  <si>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</si>
  <si>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</si>
  <si>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</si>
  <si>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</si>
  <si>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</si>
  <si>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</si>
  <si>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</si>
  <si>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</si>
  <si>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</si>
  <si>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</si>
  <si>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</si>
  <si>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</si>
  <si>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</si>
  <si>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</si>
  <si>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</si>
  <si>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</si>
  <si>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</si>
  <si>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</si>
  <si>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</si>
  <si>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</si>
  <si>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</si>
  <si>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</si>
  <si>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</si>
  <si>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</si>
  <si>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</si>
  <si>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</si>
  <si>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</si>
  <si>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</si>
  <si>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</si>
  <si>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</si>
  <si>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</si>
  <si>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</si>
  <si>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</si>
  <si>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</si>
  <si>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</si>
  <si>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</si>
  <si>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</si>
  <si>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</si>
  <si>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</si>
  <si>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</si>
  <si>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</si>
  <si>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</si>
  <si>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</si>
  <si>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</si>
  <si>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</si>
  <si>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</si>
  <si>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</si>
  <si>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</si>
  <si>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</si>
  <si>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</si>
  <si>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</si>
  <si>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</si>
  <si>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</si>
  <si>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</si>
  <si>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</si>
  <si>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</si>
  <si>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</si>
  <si>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</si>
  <si>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</si>
  <si>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</si>
  <si>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</si>
  <si>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</si>
  <si>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</si>
  <si>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</si>
  <si>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</si>
  <si>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</si>
  <si>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</si>
  <si>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</si>
  <si>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</si>
  <si>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</si>
  <si>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</si>
  <si>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</si>
  <si>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</si>
  <si>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</si>
  <si>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</si>
  <si>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</si>
  <si>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</si>
  <si>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</si>
  <si>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</si>
  <si>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</si>
  <si>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</si>
  <si>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</si>
  <si>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</si>
  <si>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</si>
  <si>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</si>
  <si>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</si>
  <si>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</si>
  <si>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</si>
  <si>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</si>
  <si>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</si>
  <si>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</si>
  <si>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</si>
  <si>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</si>
  <si>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</si>
  <si>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</si>
  <si>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</si>
  <si>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</si>
  <si>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</si>
  <si>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</si>
  <si>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</si>
  <si>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</si>
  <si>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</si>
  <si>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</si>
  <si>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</si>
  <si>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</si>
  <si>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</si>
  <si>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</si>
  <si>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</si>
  <si>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</si>
  <si>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</si>
  <si>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</si>
  <si>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</si>
  <si>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</si>
  <si>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</si>
  <si>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</si>
  <si>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</si>
  <si>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</si>
  <si>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</si>
  <si>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</si>
  <si>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</si>
  <si>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</si>
  <si>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</si>
  <si>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</si>
  <si>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</si>
  <si>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</si>
  <si>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</si>
  <si>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</si>
  <si>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</si>
  <si>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</si>
  <si>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</si>
  <si>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</si>
  <si>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</si>
  <si>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</si>
  <si>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</si>
  <si>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</si>
  <si>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</si>
  <si>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</si>
  <si>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</si>
  <si>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</si>
  <si>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</si>
  <si>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</si>
  <si>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</si>
  <si>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</si>
  <si>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</si>
  <si>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</si>
  <si>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</si>
  <si>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</si>
  <si>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</si>
  <si>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</si>
  <si>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</si>
  <si>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</si>
  <si>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</si>
  <si>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</si>
  <si>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</si>
  <si>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</si>
  <si>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</si>
  <si>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</si>
  <si>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</si>
  <si>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</si>
  <si>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</si>
  <si>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</si>
  <si>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</si>
  <si>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</si>
  <si>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</si>
  <si>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</si>
  <si>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</si>
  <si>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</si>
  <si>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</si>
  <si>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</si>
  <si>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</si>
  <si>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</si>
  <si>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</si>
  <si>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</si>
  <si>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</si>
  <si>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</si>
  <si>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</si>
  <si>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</si>
  <si>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</si>
  <si>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</si>
  <si>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</si>
  <si>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</si>
  <si>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</si>
  <si>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</si>
  <si>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</si>
  <si>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</si>
  <si>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</si>
  <si>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</si>
  <si>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</si>
  <si>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</si>
  <si>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</si>
  <si>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</si>
  <si>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</si>
  <si>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</si>
  <si>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</si>
  <si>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</si>
  <si>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</si>
  <si>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</si>
  <si>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</si>
  <si>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</si>
  <si>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</si>
  <si>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</si>
  <si>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</si>
  <si>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</si>
  <si>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</si>
  <si>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</si>
  <si>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</si>
  <si>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</si>
  <si>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</si>
  <si>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</si>
  <si>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</si>
  <si>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</si>
  <si>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</si>
  <si>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</si>
  <si>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</si>
  <si>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</si>
  <si>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</si>
  <si>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</si>
  <si>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</si>
  <si>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</si>
  <si>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</si>
  <si>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</si>
  <si>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</si>
  <si>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</si>
  <si>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</si>
  <si>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</si>
  <si>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</si>
  <si>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</si>
  <si>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</si>
  <si>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</si>
  <si>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</si>
  <si>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</si>
  <si>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</si>
  <si>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</si>
  <si>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</si>
  <si>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</si>
  <si>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</si>
  <si>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</si>
  <si>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</si>
  <si>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</si>
  <si>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</si>
  <si>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</si>
  <si>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</si>
  <si>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</si>
  <si>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</si>
  <si>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</si>
  <si>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</si>
  <si>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</si>
  <si>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</si>
  <si>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</si>
  <si>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</si>
  <si>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</si>
  <si>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</si>
  <si>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</si>
  <si>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</si>
  <si>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</si>
  <si>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</si>
  <si>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</si>
  <si>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</si>
  <si>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</si>
  <si>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</si>
  <si>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</si>
  <si>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</si>
  <si>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</si>
  <si>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</si>
  <si>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</si>
  <si>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</si>
  <si>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</si>
  <si>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</si>
  <si>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</si>
  <si>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</si>
  <si>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</si>
  <si>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</si>
  <si>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</si>
  <si>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</si>
  <si>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</si>
  <si>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</si>
  <si>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</si>
  <si>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</si>
  <si>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</si>
  <si>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</si>
  <si>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</si>
  <si>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</si>
  <si>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</si>
  <si>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</si>
  <si>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</si>
  <si>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</si>
  <si>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</si>
  <si>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</si>
  <si>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</si>
  <si>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</si>
  <si>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</si>
  <si>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</si>
  <si>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</si>
  <si>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</si>
  <si>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</si>
  <si>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</si>
  <si>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</si>
  <si>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</si>
  <si>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</si>
  <si>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</si>
  <si>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</si>
  <si>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</si>
  <si>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</si>
  <si>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</si>
  <si>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</si>
  <si>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</si>
  <si>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</si>
  <si>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</si>
  <si>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</si>
  <si>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</si>
  <si>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</si>
  <si>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</si>
  <si>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</si>
  <si>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</si>
  <si>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</si>
  <si>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</si>
  <si>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</si>
  <si>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</si>
  <si>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</si>
  <si>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</si>
  <si>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</si>
  <si>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</si>
  <si>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</si>
  <si>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</si>
  <si>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</si>
  <si>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</si>
  <si>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</si>
  <si>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</si>
  <si>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</si>
  <si>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</si>
  <si>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</si>
  <si>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</si>
  <si>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</si>
  <si>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</si>
  <si>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</si>
  <si>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</si>
  <si>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</si>
  <si>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</si>
  <si>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</si>
  <si>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</si>
  <si>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</si>
  <si>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</si>
  <si>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</si>
  <si>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</si>
  <si>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</si>
  <si>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</si>
  <si>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</si>
  <si>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</si>
  <si>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</si>
  <si>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</si>
  <si>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</si>
  <si>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</si>
  <si>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</si>
  <si>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</si>
  <si>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</si>
  <si>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</si>
  <si>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</si>
  <si>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</si>
  <si>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</si>
  <si>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</si>
  <si>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</si>
  <si>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</si>
  <si>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</si>
  <si>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</si>
  <si>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</si>
  <si>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</si>
  <si>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</si>
  <si>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</si>
  <si>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</si>
  <si>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</si>
  <si>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</si>
  <si>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</si>
  <si>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</si>
  <si>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</si>
  <si>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</si>
  <si>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</si>
  <si>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</si>
  <si>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</si>
  <si>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</si>
  <si>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</si>
  <si>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</si>
  <si>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</si>
  <si>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</si>
  <si>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</si>
  <si>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</si>
  <si>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</si>
  <si>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</si>
  <si>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</si>
  <si>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</si>
  <si>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</si>
  <si>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</si>
  <si>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</si>
  <si>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</si>
  <si>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</si>
  <si>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</si>
  <si>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</si>
  <si>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</si>
  <si>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</si>
  <si>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</si>
  <si>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</si>
  <si>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</si>
  <si>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</si>
  <si>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</si>
  <si>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</si>
  <si>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</si>
  <si>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</si>
  <si>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</si>
  <si>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</si>
  <si>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</si>
  <si>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</si>
  <si>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</si>
  <si>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</si>
  <si>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</si>
  <si>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</si>
  <si>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</si>
  <si>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</si>
  <si>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</si>
  <si>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</si>
  <si>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</si>
  <si>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</si>
  <si>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</si>
  <si>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</si>
  <si>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</si>
  <si>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</si>
  <si>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</si>
  <si>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</si>
  <si>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</si>
  <si>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</si>
  <si>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</si>
  <si>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</si>
  <si>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</si>
  <si>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</si>
  <si>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</si>
  <si>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</si>
  <si>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</si>
  <si>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</si>
  <si>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</si>
  <si>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</si>
  <si>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</si>
  <si>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</si>
  <si>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</si>
  <si>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</si>
  <si>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</si>
  <si>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</si>
  <si>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</si>
  <si>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</si>
  <si>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</si>
  <si>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</si>
  <si>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</si>
  <si>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</si>
  <si>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</si>
  <si>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</si>
  <si>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</si>
  <si>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</si>
  <si>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</si>
  <si>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</si>
  <si>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</si>
  <si>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</si>
  <si>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</si>
  <si>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</si>
  <si>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</si>
  <si>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</si>
  <si>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</si>
  <si>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</si>
  <si>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</si>
  <si>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</si>
  <si>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</si>
  <si>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</si>
  <si>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</si>
  <si>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</si>
  <si>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</si>
  <si>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</si>
  <si>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</si>
  <si>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</si>
  <si>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</si>
  <si>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</si>
  <si>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</si>
  <si>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</si>
  <si>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</si>
  <si>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</si>
  <si>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</si>
  <si>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</si>
  <si>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</si>
  <si>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</si>
  <si>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</si>
  <si>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</si>
  <si>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</si>
  <si>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</si>
  <si>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</si>
  <si>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</si>
  <si>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</si>
  <si>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</si>
  <si>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</si>
  <si>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</si>
  <si>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</si>
  <si>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</si>
  <si>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</si>
  <si>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</si>
  <si>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</si>
  <si>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</si>
  <si>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</si>
  <si>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</si>
  <si>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</si>
  <si>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</si>
  <si>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</si>
  <si>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</si>
  <si>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</si>
  <si>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</si>
  <si>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</si>
  <si>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</si>
  <si>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</si>
  <si>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</si>
  <si>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</si>
  <si>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</si>
  <si>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</si>
  <si>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</si>
  <si>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</si>
  <si>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</si>
  <si>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</si>
  <si>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</si>
  <si>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</si>
  <si>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</si>
  <si>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</si>
  <si>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</si>
  <si>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</si>
  <si>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</si>
  <si>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</si>
  <si>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</si>
  <si>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</si>
  <si>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</si>
  <si>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</si>
  <si>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</si>
  <si>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</si>
  <si>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</si>
  <si>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</si>
  <si>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</si>
  <si>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</si>
  <si>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</si>
  <si>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</si>
  <si>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</si>
  <si>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</si>
  <si>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</si>
  <si>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</si>
  <si>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</si>
  <si>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</si>
  <si>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</si>
  <si>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</si>
  <si>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</si>
  <si>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</si>
  <si>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</si>
  <si>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</si>
  <si>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</si>
  <si>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</si>
  <si>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</si>
  <si>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</si>
  <si>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</si>
  <si>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</si>
  <si>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</si>
  <si>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</si>
  <si>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</si>
  <si>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</si>
  <si>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</si>
  <si>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</si>
  <si>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</si>
  <si>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</si>
  <si>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</si>
  <si>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</si>
  <si>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</si>
  <si>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</si>
  <si>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</si>
  <si>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</si>
  <si>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</si>
  <si>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</si>
  <si>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</si>
  <si>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</si>
  <si>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</si>
  <si>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</si>
  <si>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</si>
  <si>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</si>
  <si>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</si>
  <si>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</si>
  <si>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</si>
  <si>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</si>
  <si>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</si>
  <si>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</si>
  <si>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</si>
  <si>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</si>
  <si>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</si>
  <si>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</si>
  <si>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</si>
  <si>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</si>
  <si>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</si>
  <si>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</si>
  <si>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</si>
  <si>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</si>
  <si>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</si>
  <si>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</si>
  <si>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</si>
  <si>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</si>
  <si>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</si>
  <si>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</si>
  <si>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</si>
  <si>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</si>
  <si>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</si>
  <si>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</si>
  <si>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</si>
  <si>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</si>
  <si>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</si>
  <si>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</si>
  <si>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</si>
  <si>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</si>
  <si>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</si>
  <si>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</si>
  <si>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</si>
  <si>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</si>
  <si>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</si>
  <si>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</si>
  <si>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</si>
  <si>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</si>
  <si>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</si>
  <si>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</si>
  <si>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</si>
  <si>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</si>
  <si>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</si>
  <si>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</si>
  <si>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</si>
  <si>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</si>
  <si>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</si>
  <si>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</si>
  <si>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</si>
  <si>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</si>
  <si>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</si>
  <si>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</si>
  <si>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</si>
  <si>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</si>
  <si>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</si>
  <si>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</si>
  <si>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</si>
  <si>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</si>
  <si>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</si>
  <si>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</si>
  <si>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</si>
  <si>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</si>
  <si>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</si>
  <si>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</si>
  <si>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</si>
  <si>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</si>
  <si>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</si>
  <si>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</si>
  <si>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</si>
  <si>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</si>
  <si>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</si>
  <si>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</si>
  <si>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</si>
  <si>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</si>
  <si>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</si>
  <si>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</si>
  <si>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</si>
  <si>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</si>
  <si>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</si>
  <si>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</si>
  <si>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</si>
  <si>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</si>
  <si>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</si>
  <si>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</si>
  <si>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</si>
  <si>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</si>
  <si>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</si>
  <si>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</si>
  <si>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</si>
  <si>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</si>
  <si>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</si>
  <si>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</si>
  <si>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</si>
  <si>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</si>
  <si>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</si>
  <si>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</si>
  <si>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</si>
  <si>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</si>
  <si>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</si>
  <si>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</si>
  <si>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</si>
  <si>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</si>
  <si>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</si>
  <si>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</si>
  <si>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</si>
  <si>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</si>
  <si>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</si>
  <si>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</si>
  <si>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</si>
  <si>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</si>
  <si>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</si>
  <si>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</si>
  <si>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</si>
  <si>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</si>
  <si>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</si>
  <si>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</si>
  <si>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</si>
  <si>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</si>
  <si>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</si>
  <si>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</si>
  <si>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</si>
  <si>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</si>
  <si>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</si>
  <si>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</si>
  <si>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</si>
  <si>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</si>
  <si>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</si>
  <si>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</si>
  <si>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</si>
  <si>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</si>
  <si>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</si>
  <si>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</si>
  <si>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</si>
  <si>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</si>
  <si>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</si>
  <si>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</si>
  <si>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</si>
  <si>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</si>
  <si>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</si>
  <si>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</si>
  <si>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</si>
  <si>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</si>
  <si>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</si>
  <si>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</si>
  <si>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</si>
  <si>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</si>
  <si>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</si>
  <si>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</si>
  <si>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</si>
  <si>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</si>
  <si>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</si>
  <si>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</si>
  <si>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</si>
  <si>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</si>
  <si>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</si>
  <si>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</si>
  <si>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</si>
  <si>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</si>
  <si>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</si>
  <si>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</si>
  <si>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</si>
  <si>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</si>
  <si>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</si>
  <si>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</si>
  <si>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</si>
  <si>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</si>
  <si>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</si>
  <si>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</si>
  <si>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</si>
  <si>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</si>
  <si>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</si>
  <si>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</si>
  <si>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</si>
  <si>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</si>
  <si>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</si>
  <si>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</si>
  <si>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</si>
  <si>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</si>
  <si>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</si>
  <si>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</si>
  <si>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</si>
  <si>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</si>
  <si>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</si>
  <si>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</si>
  <si>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</si>
  <si>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</si>
  <si>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</si>
  <si>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</si>
  <si>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</si>
  <si>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</si>
  <si>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</si>
  <si>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</si>
  <si>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</si>
  <si>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</si>
  <si>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</si>
  <si>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</si>
  <si>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</si>
  <si>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</si>
  <si>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</si>
  <si>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</si>
  <si>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</si>
  <si>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</si>
  <si>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</si>
  <si>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</si>
  <si>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</si>
  <si>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</si>
  <si>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</si>
  <si>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</si>
  <si>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</si>
  <si>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</si>
  <si>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</si>
  <si>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</si>
  <si>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</si>
  <si>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</si>
  <si>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</si>
  <si>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</si>
  <si>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</si>
  <si>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</si>
  <si>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</si>
  <si>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</si>
  <si>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</si>
  <si>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</si>
  <si>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</si>
  <si>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</si>
  <si>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</si>
  <si>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</si>
  <si>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</si>
  <si>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</si>
  <si>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</si>
  <si>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</si>
  <si>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</si>
  <si>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</si>
  <si>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</si>
  <si>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</si>
  <si>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</si>
  <si>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</si>
  <si>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</si>
  <si>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</si>
  <si>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</si>
  <si>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</si>
  <si>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</si>
  <si>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</si>
  <si>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</si>
  <si>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</si>
  <si>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</si>
  <si>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</si>
  <si>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</si>
  <si>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</si>
  <si>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</si>
  <si>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</si>
  <si>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</si>
  <si>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</si>
  <si>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</si>
  <si>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</si>
  <si>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</si>
  <si>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</si>
  <si>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</si>
  <si>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</si>
  <si>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</si>
  <si>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</si>
  <si>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</si>
  <si>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</si>
  <si>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</si>
  <si>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</si>
  <si>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</si>
  <si>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</si>
  <si>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</si>
  <si>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</si>
  <si>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</si>
  <si>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</si>
  <si>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</si>
  <si>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</si>
  <si>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</si>
  <si>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</si>
  <si>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</si>
  <si>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</si>
  <si>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</si>
  <si>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</si>
  <si>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</si>
  <si>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</si>
  <si>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</si>
  <si>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</si>
  <si>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</si>
  <si>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</si>
  <si>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</si>
  <si>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</si>
  <si>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</si>
  <si>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</si>
  <si>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</si>
  <si>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</si>
  <si>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</si>
  <si>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</si>
  <si>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</si>
  <si>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</si>
  <si>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</si>
  <si>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</si>
  <si>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</si>
  <si>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</si>
  <si>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</si>
  <si>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</si>
  <si>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</si>
  <si>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</si>
  <si>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</si>
  <si>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</si>
  <si>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</si>
  <si>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</si>
  <si>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</si>
  <si>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</si>
  <si>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</si>
  <si>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</si>
  <si>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</si>
  <si>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</si>
  <si>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</si>
  <si>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</si>
  <si>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</si>
  <si>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</si>
  <si>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</si>
  <si>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</si>
  <si>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</si>
  <si>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</si>
  <si>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</si>
  <si>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</si>
  <si>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</si>
  <si>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</si>
  <si>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</si>
  <si>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</si>
  <si>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</si>
  <si>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</si>
  <si>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</si>
  <si>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</si>
  <si>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</si>
  <si>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</si>
  <si>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</si>
  <si>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</si>
  <si>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</si>
  <si>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</si>
  <si>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</si>
  <si>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</si>
  <si>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</si>
  <si>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</si>
  <si>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</si>
  <si>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</si>
  <si>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</si>
  <si>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</si>
  <si>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</si>
  <si>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</si>
  <si>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</si>
  <si>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</si>
  <si>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</si>
  <si>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</si>
  <si>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</si>
  <si>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</si>
  <si>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</si>
  <si>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</si>
  <si>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</si>
  <si>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</si>
  <si>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</si>
  <si>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</si>
  <si>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</si>
  <si>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</si>
  <si>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</si>
  <si>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</si>
  <si>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</si>
  <si>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</si>
  <si>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</si>
  <si>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</si>
  <si>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</si>
  <si>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</si>
  <si>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</si>
  <si>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</si>
  <si>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</si>
  <si>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</si>
  <si>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</si>
  <si>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</si>
  <si>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</si>
  <si>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</si>
  <si>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</si>
  <si>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</si>
  <si>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</si>
  <si>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</si>
  <si>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</si>
  <si>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</si>
  <si>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</si>
  <si>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</si>
  <si>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</si>
  <si>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</si>
  <si>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</si>
  <si>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</si>
  <si>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</si>
  <si>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</si>
  <si>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</si>
  <si>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</si>
  <si>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</si>
  <si>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</si>
  <si>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</si>
  <si>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</si>
  <si>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</si>
  <si>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</si>
  <si>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</si>
  <si>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</si>
  <si>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</si>
  <si>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</si>
  <si>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</si>
  <si>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</si>
  <si>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</si>
  <si>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</si>
  <si>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</si>
  <si>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</si>
  <si>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</si>
  <si>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</si>
  <si>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</si>
  <si>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</si>
  <si>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</si>
  <si>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</si>
  <si>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</si>
  <si>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</si>
  <si>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</si>
  <si>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</si>
  <si>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</si>
  <si>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</si>
  <si>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</si>
  <si>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</si>
  <si>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</si>
  <si>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</si>
  <si>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</si>
  <si>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</si>
  <si>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</si>
  <si>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</si>
  <si>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</si>
  <si>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</si>
  <si>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</si>
  <si>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</si>
  <si>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</si>
  <si>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</si>
  <si>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</si>
  <si>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</si>
  <si>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</si>
  <si>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</si>
  <si>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</si>
  <si>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</si>
  <si>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</si>
  <si>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</si>
  <si>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</si>
  <si>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</si>
  <si>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</si>
  <si>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</si>
  <si>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</si>
  <si>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</si>
  <si>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</si>
  <si>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</si>
  <si>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</si>
  <si>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</si>
  <si>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</si>
  <si>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</si>
  <si>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</si>
  <si>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</si>
  <si>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</si>
  <si>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</si>
  <si>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</si>
  <si>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</si>
  <si>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</si>
  <si>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</si>
  <si>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</si>
  <si>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</si>
  <si>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</si>
  <si>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</si>
  <si>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</si>
  <si>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</si>
  <si>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</si>
  <si>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</si>
  <si>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</si>
  <si>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</si>
  <si>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</si>
  <si>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</si>
  <si>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</si>
  <si>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</si>
  <si>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</si>
  <si>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</si>
  <si>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</si>
  <si>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</si>
  <si>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</si>
  <si>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</si>
  <si>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</si>
  <si>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</si>
  <si>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</si>
  <si>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</si>
  <si>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</si>
  <si>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</si>
  <si>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</si>
  <si>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</si>
  <si>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</si>
  <si>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</si>
  <si>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</si>
  <si>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</si>
  <si>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</si>
  <si>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</si>
  <si>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</si>
  <si>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</si>
  <si>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</si>
  <si>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</si>
  <si>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</si>
  <si>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</si>
  <si>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</si>
  <si>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</si>
  <si>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</si>
  <si>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</si>
  <si>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</si>
  <si>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</si>
  <si>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</si>
  <si>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</si>
  <si>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</si>
  <si>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</si>
  <si>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</si>
  <si>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</si>
  <si>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</si>
  <si>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</si>
  <si>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</si>
  <si>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</si>
  <si>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</si>
  <si>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</si>
  <si>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</si>
  <si>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</si>
  <si>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</si>
  <si>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</si>
  <si>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</si>
  <si>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</si>
  <si>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</si>
  <si>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</si>
  <si>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</si>
  <si>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</si>
  <si>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</si>
  <si>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</si>
  <si>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</si>
  <si>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</si>
  <si>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</si>
  <si>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</si>
  <si>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</si>
  <si>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</si>
  <si>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</si>
  <si>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</si>
  <si>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</si>
  <si>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</si>
  <si>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</si>
  <si>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</si>
  <si>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</si>
  <si>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</si>
  <si>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</si>
  <si>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</si>
  <si>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</si>
  <si>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</si>
  <si>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</si>
  <si>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</si>
  <si>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</si>
  <si>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</si>
  <si>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</si>
  <si>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</si>
  <si>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</si>
  <si>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</si>
  <si>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</si>
  <si>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</si>
  <si>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</si>
  <si>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</si>
  <si>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</si>
  <si>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</si>
  <si>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</si>
  <si>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</si>
  <si>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</si>
  <si>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</si>
  <si>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</si>
  <si>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</si>
  <si>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</si>
  <si>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</si>
  <si>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</si>
  <si>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</si>
  <si>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</si>
  <si>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</si>
  <si>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</si>
  <si>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</si>
  <si>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</si>
  <si>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</si>
  <si>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</si>
  <si>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</si>
  <si>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</si>
  <si>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</si>
  <si>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</si>
  <si>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</si>
  <si>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</si>
  <si>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</si>
  <si>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</si>
  <si>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</si>
  <si>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</si>
  <si>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</si>
  <si>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</si>
  <si>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</si>
  <si>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</si>
  <si>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</si>
  <si>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</si>
  <si>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</si>
  <si>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</si>
  <si>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</si>
  <si>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</si>
  <si>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</si>
  <si>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</si>
  <si>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</si>
  <si>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</si>
  <si>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</si>
  <si>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</si>
  <si>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</si>
  <si>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</si>
  <si>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</si>
  <si>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</si>
  <si>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</si>
  <si>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</si>
  <si>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</si>
  <si>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</si>
  <si>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</si>
  <si>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</si>
  <si>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</si>
  <si>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</si>
  <si>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</si>
  <si>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</si>
  <si>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</si>
  <si>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</si>
  <si>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</si>
  <si>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</si>
  <si>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</si>
  <si>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</si>
  <si>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</si>
  <si>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</si>
  <si>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</si>
  <si>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</si>
  <si>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</si>
  <si>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</si>
  <si>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</si>
  <si>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</si>
  <si>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</si>
  <si>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</si>
  <si>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</si>
  <si>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</si>
  <si>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</si>
  <si>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</si>
  <si>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</si>
  <si>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</si>
  <si>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</si>
  <si>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</si>
  <si>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</si>
  <si>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</si>
  <si>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</si>
  <si>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</si>
  <si>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</si>
  <si>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</si>
  <si>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</si>
  <si>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</si>
  <si>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</si>
  <si>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</si>
  <si>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</si>
  <si>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</si>
  <si>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</si>
  <si>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</si>
  <si>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</si>
  <si>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</si>
  <si>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</si>
  <si>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</si>
  <si>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</si>
  <si>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</si>
  <si>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</si>
  <si>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</si>
  <si>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</si>
  <si>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</si>
  <si>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</si>
  <si>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</si>
  <si>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</si>
  <si>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</si>
  <si>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</si>
  <si>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</si>
  <si>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</si>
  <si>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</si>
  <si>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</si>
  <si>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</si>
  <si>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</si>
  <si>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</si>
  <si>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</si>
  <si>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</si>
  <si>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</si>
  <si>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</si>
  <si>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</si>
  <si>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</si>
  <si>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</si>
  <si>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</si>
  <si>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</si>
  <si>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</si>
  <si>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</si>
  <si>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</si>
  <si>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</si>
  <si>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</si>
  <si>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</si>
  <si>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</si>
  <si>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</si>
  <si>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</si>
  <si>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</si>
  <si>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</si>
  <si>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</si>
  <si>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</si>
  <si>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</si>
  <si>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</si>
  <si>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</si>
  <si>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</si>
  <si>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</si>
  <si>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</si>
  <si>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</si>
  <si>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</si>
  <si>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</si>
  <si>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</si>
  <si>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</si>
  <si>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</si>
  <si>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</si>
  <si>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</si>
  <si>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</si>
  <si>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</si>
  <si>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</si>
  <si>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</si>
  <si>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</si>
  <si>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</si>
  <si>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</si>
  <si>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</si>
  <si>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</si>
  <si>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</si>
  <si>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</si>
  <si>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</si>
  <si>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</si>
  <si>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</si>
  <si>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</si>
  <si>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</si>
  <si>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</si>
  <si>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</si>
  <si>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</si>
  <si>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</si>
  <si>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</si>
  <si>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</si>
  <si>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</si>
  <si>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</si>
  <si>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</si>
  <si>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</si>
  <si>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</si>
  <si>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</si>
  <si>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</si>
  <si>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</si>
  <si>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</si>
  <si>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</si>
  <si>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</si>
  <si>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</si>
  <si>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</si>
  <si>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</si>
  <si>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</si>
  <si>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</si>
  <si>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</si>
  <si>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</si>
  <si>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</si>
  <si>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</si>
  <si>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</si>
  <si>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</si>
  <si>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</si>
  <si>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</si>
  <si>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</si>
  <si>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</si>
  <si>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</si>
  <si>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</si>
  <si>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</si>
  <si>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</si>
  <si>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</si>
  <si>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</si>
  <si>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</si>
  <si>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</si>
  <si>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</si>
  <si>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</si>
  <si>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</si>
  <si>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</si>
  <si>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</si>
  <si>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</si>
  <si>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</si>
  <si>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</si>
  <si>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</si>
  <si>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</si>
  <si>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</si>
  <si>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</si>
  <si>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</si>
  <si>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</si>
  <si>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</si>
  <si>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</si>
  <si>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</si>
  <si>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</si>
  <si>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</si>
  <si>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</si>
  <si>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</si>
  <si>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</si>
  <si>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</si>
  <si>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</si>
  <si>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</si>
  <si>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</si>
  <si>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</si>
  <si>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</si>
  <si>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</si>
  <si>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</si>
  <si>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</si>
  <si>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</si>
  <si>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</si>
  <si>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</si>
  <si>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</si>
  <si>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</si>
  <si>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</si>
  <si>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</si>
  <si>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</si>
  <si>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</si>
  <si>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</si>
  <si>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</si>
  <si>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</si>
  <si>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</si>
  <si>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</si>
  <si>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</si>
  <si>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</si>
  <si>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</si>
  <si>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</si>
  <si>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</si>
  <si>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</si>
  <si>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</si>
  <si>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</si>
  <si>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</si>
  <si>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</si>
  <si>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</si>
  <si>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</si>
  <si>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</si>
  <si>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</si>
  <si>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</si>
  <si>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</si>
  <si>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</si>
  <si>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</si>
  <si>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</si>
  <si>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</si>
  <si>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</si>
  <si>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</si>
  <si>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</si>
  <si>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</si>
  <si>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</si>
  <si>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</si>
  <si>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</si>
  <si>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</si>
  <si>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</si>
  <si>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</si>
  <si>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</si>
  <si>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</si>
  <si>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</si>
  <si>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</si>
  <si>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</si>
  <si>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</si>
  <si>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</si>
  <si>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</si>
  <si>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</si>
  <si>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</si>
  <si>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</si>
  <si>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</si>
  <si>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</si>
  <si>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</si>
  <si>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</si>
  <si>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</si>
  <si>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</si>
  <si>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</si>
  <si>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</si>
  <si>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</si>
  <si>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</si>
  <si>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</si>
  <si>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</si>
  <si>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</si>
  <si>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</si>
  <si>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</si>
  <si>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</si>
  <si>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</si>
  <si>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</si>
  <si>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</si>
  <si>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</si>
  <si>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</si>
  <si>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</si>
  <si>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</si>
  <si>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</si>
  <si>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</si>
  <si>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</si>
  <si>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</si>
  <si>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</si>
  <si>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</si>
  <si>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</si>
  <si>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</si>
  <si>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</si>
  <si>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</si>
  <si>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</si>
  <si>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</si>
  <si>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</si>
  <si>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</si>
  <si>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</si>
  <si>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</si>
  <si>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</si>
  <si>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</si>
  <si>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</si>
  <si>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</si>
  <si>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</si>
  <si>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</si>
  <si>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</si>
  <si>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</si>
  <si>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</si>
  <si>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</si>
  <si>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</si>
  <si>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</si>
  <si>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</si>
  <si>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</si>
  <si>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</si>
  <si>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</si>
  <si>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</si>
  <si>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</si>
  <si>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</si>
  <si>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</si>
  <si>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</si>
  <si>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</si>
  <si>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</si>
  <si>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</si>
  <si>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</si>
  <si>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</si>
  <si>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</si>
  <si>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</si>
  <si>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</si>
  <si>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</si>
  <si>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</si>
  <si>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</si>
  <si>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</si>
  <si>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</si>
  <si>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</si>
  <si>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</si>
  <si>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</si>
  <si>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</si>
  <si>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</si>
  <si>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</si>
  <si>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</si>
  <si>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</si>
  <si>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</si>
  <si>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</si>
  <si>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</si>
  <si>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</si>
  <si>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</si>
  <si>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</si>
  <si>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</si>
  <si>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</si>
  <si>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</si>
  <si>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</si>
  <si>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</si>
  <si>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</si>
  <si>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</si>
  <si>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</si>
  <si>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</si>
  <si>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</si>
  <si>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</si>
  <si>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</si>
  <si>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</si>
  <si>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</si>
  <si>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</si>
  <si>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</si>
  <si>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</si>
  <si>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</si>
  <si>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</si>
  <si>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</si>
  <si>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</si>
  <si>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</si>
  <si>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</si>
  <si>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</si>
  <si>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</si>
  <si>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</si>
  <si>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</si>
  <si>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</si>
  <si>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</si>
  <si>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</si>
  <si>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</si>
  <si>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</si>
  <si>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</si>
  <si>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</si>
  <si>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</si>
  <si>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</si>
  <si>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</si>
  <si>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</si>
  <si>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</si>
  <si>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</si>
  <si>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</si>
  <si>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</si>
  <si>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</si>
  <si>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</si>
  <si>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</si>
  <si>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</si>
  <si>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</si>
  <si>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</si>
  <si>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</si>
  <si>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</si>
  <si>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</si>
  <si>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</si>
  <si>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</si>
  <si>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</si>
  <si>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</si>
  <si>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</si>
  <si>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</si>
  <si>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</si>
  <si>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</si>
  <si>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</si>
  <si>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</si>
  <si>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</si>
  <si>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</si>
  <si>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</si>
  <si>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</si>
  <si>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</si>
  <si>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</si>
  <si>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</si>
  <si>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</si>
  <si>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</si>
  <si>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</si>
  <si>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</si>
  <si>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</si>
  <si>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</si>
  <si>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</si>
  <si>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</si>
  <si>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</si>
  <si>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</si>
  <si>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</si>
  <si>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</si>
  <si>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</si>
  <si>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</si>
  <si>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</si>
  <si>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</si>
  <si>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</si>
  <si>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</si>
  <si>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</si>
  <si>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</si>
  <si>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</si>
  <si>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</si>
  <si>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</si>
  <si>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</si>
  <si>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</si>
  <si>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</si>
  <si>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</si>
  <si>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</si>
  <si>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</si>
  <si>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</si>
  <si>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</si>
  <si>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</si>
  <si>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</si>
  <si>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</si>
  <si>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</si>
  <si>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</si>
  <si>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</si>
  <si>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</si>
  <si>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</si>
  <si>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</si>
  <si>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</si>
  <si>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</si>
  <si>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</si>
  <si>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</si>
  <si>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</si>
  <si>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</si>
  <si>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</si>
  <si>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</si>
  <si>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</si>
  <si>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</si>
  <si>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</si>
  <si>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</si>
  <si>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</si>
  <si>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</si>
  <si>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</si>
  <si>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</si>
  <si>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</si>
  <si>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</si>
  <si>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</si>
  <si>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</si>
  <si>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</si>
  <si>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</si>
  <si>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</si>
  <si>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</si>
  <si>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</si>
  <si>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</si>
  <si>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</si>
  <si>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</si>
  <si>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</si>
  <si>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</si>
  <si>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</si>
  <si>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</si>
  <si>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</si>
  <si>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</si>
  <si>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</si>
  <si>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</si>
  <si>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</si>
  <si>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</si>
  <si>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</si>
  <si>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</si>
  <si>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</si>
  <si>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</si>
  <si>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</si>
  <si>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</si>
  <si>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</si>
  <si>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</si>
  <si>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</si>
  <si>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</si>
  <si>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</si>
  <si>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</si>
  <si>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</si>
  <si>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</si>
  <si>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</si>
  <si>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</si>
  <si>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</si>
  <si>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</si>
  <si>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</si>
  <si>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</si>
  <si>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</si>
  <si>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</si>
  <si>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</si>
  <si>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</si>
  <si>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</si>
  <si>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</si>
  <si>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</si>
  <si>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</si>
  <si>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</si>
  <si>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</si>
  <si>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</si>
  <si>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</si>
  <si>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</si>
  <si>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</si>
  <si>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</si>
  <si>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</si>
  <si>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</si>
  <si>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</si>
  <si>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</si>
  <si>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</si>
  <si>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</si>
  <si>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</si>
  <si>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</si>
  <si>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</si>
  <si>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</si>
  <si>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</si>
  <si>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</si>
  <si>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</si>
  <si>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</si>
  <si>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</si>
  <si>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</si>
  <si>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</si>
  <si>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</si>
  <si>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</si>
  <si>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</si>
  <si>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</si>
  <si>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</si>
  <si>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</si>
  <si>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</si>
  <si>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</si>
  <si>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</si>
  <si>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</si>
  <si>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</si>
  <si>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</si>
  <si>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</si>
  <si>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</si>
  <si>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</si>
  <si>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</si>
  <si>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</si>
  <si>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</si>
  <si>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</si>
  <si>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</si>
  <si>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</si>
  <si>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</si>
  <si>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</si>
  <si>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</si>
  <si>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</si>
  <si>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</si>
  <si>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</si>
  <si>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</si>
  <si>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</si>
  <si>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</si>
  <si>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</si>
  <si>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</si>
  <si>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</si>
  <si>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</si>
  <si>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</si>
  <si>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</si>
  <si>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</si>
  <si>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</si>
  <si>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</si>
  <si>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</si>
  <si>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</si>
  <si>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</si>
  <si>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</si>
  <si>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</si>
  <si>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</si>
  <si>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</si>
  <si>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</si>
  <si>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</si>
  <si>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</si>
  <si>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</si>
  <si>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</si>
  <si>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</si>
  <si>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</si>
  <si>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</si>
  <si>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</si>
  <si>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</si>
  <si>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</si>
  <si>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</si>
  <si>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</si>
  <si>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</si>
  <si>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</si>
  <si>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</si>
  <si>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</si>
  <si>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</si>
  <si>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</si>
  <si>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</si>
  <si>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</si>
  <si>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</si>
  <si>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</si>
  <si>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</si>
  <si>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</si>
  <si>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</si>
  <si>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</si>
  <si>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</si>
  <si>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</si>
  <si>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</si>
  <si>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</si>
  <si>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</si>
  <si>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</si>
  <si>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</si>
  <si>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</si>
  <si>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</si>
  <si>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</si>
  <si>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</si>
  <si>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</si>
  <si>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</si>
  <si>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</si>
  <si>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</si>
  <si>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</si>
  <si>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</si>
  <si>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</si>
  <si>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</si>
  <si>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</si>
  <si>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</si>
  <si>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</si>
  <si>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</si>
  <si>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</si>
  <si>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</si>
  <si>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</si>
  <si>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</si>
  <si>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</si>
  <si>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</si>
  <si>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</si>
  <si>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</si>
  <si>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</si>
  <si>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</si>
  <si>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</si>
  <si>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</si>
  <si>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</si>
  <si>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</si>
  <si>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</si>
  <si>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</si>
  <si>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</si>
  <si>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</si>
  <si>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</si>
  <si>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</si>
  <si>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</si>
  <si>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</si>
  <si>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</si>
  <si>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</si>
  <si>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</si>
  <si>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</si>
  <si>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</si>
  <si>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</si>
  <si>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</si>
  <si>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</si>
  <si>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</si>
  <si>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</si>
  <si>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</si>
  <si>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</si>
  <si>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</si>
  <si>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</si>
  <si>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</si>
  <si>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</si>
  <si>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</si>
  <si>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</si>
  <si>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</si>
  <si>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</si>
  <si>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</si>
  <si>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</si>
  <si>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</si>
  <si>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</si>
  <si>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</si>
  <si>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</si>
  <si>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</si>
  <si>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</si>
  <si>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</si>
  <si>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</si>
  <si>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</si>
  <si>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</si>
  <si>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</si>
  <si>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</si>
  <si>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</si>
  <si>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</si>
  <si>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</si>
  <si>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</si>
  <si>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</si>
  <si>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</si>
  <si>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</si>
  <si>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</si>
  <si>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</si>
  <si>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</si>
  <si>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</si>
  <si>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</si>
  <si>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</si>
  <si>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</si>
  <si>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</si>
  <si>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</si>
  <si>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</si>
  <si>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</si>
  <si>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</si>
  <si>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</si>
  <si>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</si>
  <si>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</si>
  <si>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</si>
  <si>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</si>
  <si>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</si>
  <si>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</si>
  <si>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</si>
  <si>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</si>
  <si>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</si>
  <si>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</si>
  <si>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</si>
  <si>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</si>
  <si>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</si>
  <si>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</si>
  <si>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</si>
  <si>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</si>
  <si>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</si>
  <si>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</si>
  <si>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</si>
  <si>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</si>
  <si>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</si>
  <si>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</si>
  <si>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</si>
  <si>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</si>
  <si>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</si>
  <si>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</si>
  <si>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</si>
  <si>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</si>
  <si>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</si>
  <si>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</si>
  <si>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</si>
  <si>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</si>
  <si>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</si>
  <si>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</si>
  <si>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</si>
  <si>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</si>
  <si>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</si>
  <si>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</si>
  <si>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</si>
  <si>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</si>
  <si>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</si>
  <si>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</si>
  <si>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</si>
  <si>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</si>
  <si>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</si>
  <si>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</si>
  <si>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</si>
  <si>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</si>
  <si>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</si>
  <si>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</si>
  <si>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</si>
  <si>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</si>
  <si>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</si>
  <si>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</si>
  <si>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</si>
  <si>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</si>
  <si>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</si>
  <si>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</si>
  <si>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</si>
  <si>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</si>
  <si>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</si>
  <si>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</si>
  <si>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</si>
  <si>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</si>
  <si>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</si>
  <si>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</si>
  <si>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</si>
  <si>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</si>
  <si>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</si>
  <si>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</si>
  <si>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</si>
  <si>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</si>
  <si>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</si>
  <si>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</si>
  <si>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</si>
  <si>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</si>
  <si>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</si>
  <si>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</si>
  <si>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</si>
  <si>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</si>
  <si>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</si>
  <si>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</si>
  <si>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</si>
  <si>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</si>
  <si>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</si>
  <si>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</si>
  <si>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</si>
  <si>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</si>
  <si>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</si>
  <si>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</si>
  <si>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</si>
  <si>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</si>
  <si>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</si>
  <si>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</si>
  <si>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</si>
  <si>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</si>
  <si>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</si>
  <si>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</si>
  <si>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</si>
  <si>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</si>
  <si>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</si>
  <si>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</si>
  <si>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</si>
  <si>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</si>
  <si>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</si>
  <si>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</si>
  <si>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</si>
  <si>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</si>
  <si>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</si>
  <si>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</si>
  <si>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</si>
  <si>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</si>
  <si>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</si>
  <si>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</si>
  <si>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</si>
  <si>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</si>
  <si>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</si>
  <si>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</si>
  <si>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</si>
  <si>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</si>
  <si>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</si>
  <si>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</si>
  <si>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</si>
  <si>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</si>
  <si>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</si>
  <si>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</si>
  <si>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</si>
  <si>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</si>
  <si>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</si>
  <si>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</si>
  <si>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</si>
  <si>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</si>
  <si>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</si>
  <si>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</si>
  <si>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</si>
  <si>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</si>
  <si>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</si>
  <si>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</si>
  <si>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</si>
  <si>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</si>
  <si>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</si>
  <si>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</si>
  <si>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</si>
  <si>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</si>
  <si>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</si>
  <si>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</si>
  <si>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</si>
  <si>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</si>
  <si>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</si>
  <si>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</si>
  <si>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</si>
  <si>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</si>
  <si>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</si>
  <si>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</si>
  <si>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</si>
  <si>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</si>
  <si>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</si>
  <si>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</si>
  <si>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</si>
  <si>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</si>
  <si>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</si>
  <si>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</si>
  <si>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</si>
  <si>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</si>
  <si>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</si>
  <si>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</si>
  <si>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</si>
  <si>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</si>
  <si>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</si>
  <si>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</si>
  <si>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</si>
  <si>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</si>
  <si>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</si>
  <si>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</si>
  <si>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</si>
  <si>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</si>
  <si>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</si>
  <si>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</si>
  <si>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</si>
  <si>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</si>
  <si>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</si>
  <si>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</si>
  <si>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</si>
  <si>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</si>
  <si>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</si>
  <si>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</si>
  <si>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</si>
  <si>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</si>
  <si>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</si>
  <si>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</si>
  <si>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</si>
  <si>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</si>
  <si>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</si>
  <si>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</si>
  <si>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</si>
  <si>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</si>
  <si>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</si>
  <si>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</si>
  <si>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</si>
  <si>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</si>
  <si>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</si>
  <si>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</si>
  <si>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</si>
  <si>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</si>
  <si>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</si>
  <si>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</si>
  <si>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</si>
  <si>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</si>
  <si>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</si>
  <si>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</si>
  <si>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</si>
  <si>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</si>
  <si>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</si>
  <si>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</si>
  <si>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</si>
  <si>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</si>
  <si>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</si>
  <si>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</si>
  <si>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</si>
  <si>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</si>
  <si>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</si>
  <si>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</si>
  <si>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</si>
  <si>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</si>
  <si>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</si>
  <si>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</si>
  <si>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</si>
  <si>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</si>
  <si>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</si>
  <si>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</si>
  <si>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</si>
  <si>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</si>
  <si>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</si>
  <si>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</si>
  <si>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</si>
  <si>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</si>
  <si>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</si>
  <si>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</si>
  <si>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</si>
  <si>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</si>
  <si>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</si>
  <si>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</si>
  <si>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</si>
  <si>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</si>
  <si>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</si>
  <si>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</si>
  <si>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</si>
  <si>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</si>
  <si>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</si>
  <si>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</si>
  <si>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</si>
  <si>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</si>
  <si>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</si>
  <si>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</si>
  <si>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</si>
  <si>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</si>
  <si>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</si>
  <si>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</si>
  <si>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</si>
  <si>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</si>
  <si>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</si>
  <si>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</si>
  <si>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</si>
  <si>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</si>
  <si>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</si>
  <si>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</si>
  <si>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</si>
  <si>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</si>
  <si>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</si>
  <si>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</si>
  <si>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</si>
  <si>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</si>
  <si>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</si>
  <si>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</si>
  <si>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</si>
  <si>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</si>
  <si>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</si>
  <si>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</si>
  <si>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</si>
  <si>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</si>
  <si>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</si>
  <si>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</si>
  <si>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</si>
  <si>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</si>
  <si>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</si>
  <si>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</si>
  <si>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</si>
  <si>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</si>
  <si>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</si>
  <si>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</si>
  <si>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</si>
  <si>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</si>
  <si>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</si>
  <si>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</si>
  <si>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</si>
  <si>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</si>
  <si>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</si>
  <si>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</si>
  <si>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</si>
  <si>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</si>
  <si>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</si>
  <si>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</si>
  <si>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</si>
  <si>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</si>
  <si>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</si>
  <si>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</si>
  <si>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</si>
  <si>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</si>
  <si>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</si>
  <si>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</si>
  <si>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</si>
  <si>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</si>
  <si>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</si>
  <si>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</si>
  <si>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</si>
  <si>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</si>
  <si>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</si>
  <si>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</si>
  <si>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</si>
  <si>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</si>
  <si>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</si>
  <si>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</si>
  <si>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</si>
  <si>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</si>
  <si>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</si>
  <si>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</si>
  <si>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</si>
  <si>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</si>
  <si>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</si>
  <si>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</si>
  <si>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</si>
  <si>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</si>
  <si>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</si>
  <si>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</si>
  <si>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</si>
  <si>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</si>
  <si>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</si>
  <si>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</si>
  <si>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</si>
  <si>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</si>
  <si>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</si>
  <si>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</si>
  <si>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</si>
  <si>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</si>
  <si>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</si>
  <si>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</si>
  <si>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</si>
  <si>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</si>
  <si>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</si>
  <si>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</si>
  <si>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</si>
  <si>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</si>
  <si>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</si>
  <si>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</si>
  <si>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</si>
  <si>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</si>
  <si>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</si>
  <si>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</si>
  <si>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</si>
  <si>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</si>
  <si>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</si>
  <si>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</si>
  <si>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</si>
  <si>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</si>
  <si>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</si>
  <si>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</si>
  <si>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</si>
  <si>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</si>
  <si>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</si>
  <si>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</si>
  <si>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</si>
  <si>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</si>
  <si>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</si>
  <si>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</si>
  <si>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</si>
  <si>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</si>
  <si>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</si>
  <si>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</si>
  <si>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</si>
  <si>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</si>
  <si>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</si>
  <si>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</si>
  <si>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</si>
  <si>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</si>
  <si>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</si>
  <si>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</si>
  <si>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</si>
  <si>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</si>
  <si>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</si>
  <si>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</si>
  <si>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</si>
  <si>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</si>
  <si>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</si>
  <si>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</si>
  <si>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</si>
  <si>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</si>
  <si>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</si>
  <si>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</si>
  <si>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</si>
  <si>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</si>
  <si>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</si>
  <si>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</si>
  <si>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</si>
  <si>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</si>
  <si>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</si>
  <si>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</si>
  <si>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</si>
  <si>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</si>
  <si>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</si>
  <si>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</si>
  <si>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</si>
  <si>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</si>
  <si>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</si>
  <si>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</si>
  <si>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</si>
  <si>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</si>
  <si>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</si>
  <si>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</si>
  <si>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</si>
  <si>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</si>
  <si>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</si>
  <si>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</si>
  <si>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</si>
  <si>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</si>
  <si>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</si>
  <si>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</si>
  <si>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</si>
  <si>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</si>
  <si>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</si>
  <si>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</si>
  <si>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</si>
  <si>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</si>
  <si>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</si>
  <si>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</si>
  <si>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</si>
  <si>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</si>
  <si>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</si>
  <si>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</si>
  <si>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</si>
  <si>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</si>
  <si>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</si>
  <si>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</si>
  <si>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</si>
  <si>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</si>
  <si>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</si>
  <si>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</si>
  <si>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</si>
  <si>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</si>
  <si>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</si>
  <si>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</si>
  <si>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</si>
  <si>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</si>
  <si>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</si>
  <si>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</si>
  <si>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</si>
  <si>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</si>
  <si>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</si>
  <si>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</si>
  <si>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</si>
  <si>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</si>
  <si>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</si>
  <si>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</si>
  <si>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</si>
  <si>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</si>
  <si>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</si>
  <si>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</si>
  <si>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</si>
  <si>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</si>
  <si>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</si>
  <si>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</si>
  <si>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</si>
  <si>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</si>
  <si>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</si>
  <si>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</si>
  <si>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</si>
  <si>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</si>
  <si>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</si>
  <si>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</si>
  <si>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</si>
  <si>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</si>
  <si>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</si>
  <si>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</si>
  <si>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</si>
  <si>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</si>
  <si>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</si>
  <si>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</si>
  <si>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</si>
  <si>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</si>
  <si>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</si>
  <si>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</si>
  <si>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</si>
  <si>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</si>
  <si>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</si>
  <si>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</si>
  <si>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</si>
  <si>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</si>
  <si>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</si>
  <si>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</si>
  <si>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</si>
  <si>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</si>
  <si>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</si>
  <si>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</si>
  <si>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</si>
  <si>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</si>
  <si>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</si>
  <si>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</si>
  <si>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</si>
  <si>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</si>
  <si>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</si>
  <si>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</si>
  <si>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</si>
  <si>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</si>
  <si>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</si>
  <si>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</si>
  <si>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</si>
  <si>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</si>
  <si>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</si>
  <si>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</si>
  <si>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</si>
  <si>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</si>
  <si>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</si>
  <si>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</si>
  <si>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</si>
  <si>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</si>
  <si>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</si>
  <si>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</si>
  <si>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</si>
  <si>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</si>
  <si>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</si>
  <si>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</si>
  <si>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</si>
  <si>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</si>
  <si>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</si>
  <si>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</si>
  <si>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</si>
  <si>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</si>
  <si>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</si>
  <si>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</si>
  <si>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</si>
  <si>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</si>
  <si>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</si>
  <si>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</si>
  <si>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</si>
  <si>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</si>
  <si>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</si>
  <si>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</si>
  <si>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</si>
  <si>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</si>
  <si>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</si>
  <si>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</si>
  <si>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</si>
  <si>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</si>
  <si>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</si>
  <si>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</si>
  <si>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</si>
  <si>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</si>
  <si>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</si>
  <si>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</si>
  <si>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</si>
  <si>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</si>
  <si>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</si>
  <si>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</si>
  <si>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</si>
  <si>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</si>
  <si>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</si>
  <si>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</si>
  <si>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</si>
  <si>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</si>
  <si>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</si>
  <si>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</si>
  <si>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</si>
  <si>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</si>
  <si>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</si>
  <si>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</si>
  <si>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</si>
  <si>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</si>
  <si>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</si>
  <si>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</si>
  <si>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</si>
  <si>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</si>
  <si>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</si>
  <si>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</si>
  <si>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</si>
  <si>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</si>
  <si>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</si>
  <si>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</si>
  <si>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</si>
  <si>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</si>
  <si>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</si>
  <si>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</si>
  <si>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</si>
  <si>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</si>
  <si>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</si>
  <si>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</si>
  <si>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</si>
  <si>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</si>
  <si>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</si>
  <si>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</si>
  <si>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</si>
  <si>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</si>
  <si>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</si>
  <si>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</si>
  <si>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</si>
  <si>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</si>
  <si>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</si>
  <si>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</si>
  <si>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</si>
  <si>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</si>
  <si>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</si>
  <si>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</si>
  <si>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</si>
  <si>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</si>
  <si>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</si>
  <si>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</si>
  <si>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</si>
  <si>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</si>
  <si>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</si>
  <si>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</si>
  <si>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</si>
  <si>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</si>
  <si>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</si>
  <si>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</si>
  <si>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</si>
  <si>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</si>
  <si>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</si>
  <si>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</si>
  <si>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</si>
  <si>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</si>
  <si>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</si>
  <si>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</si>
  <si>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</si>
  <si>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</si>
  <si>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</si>
  <si>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</si>
  <si>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</si>
  <si>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</si>
  <si>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</si>
  <si>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</si>
  <si>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</si>
  <si>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</si>
  <si>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</si>
  <si>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</si>
  <si>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</si>
  <si>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</si>
  <si>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</si>
  <si>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</si>
  <si>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</si>
  <si>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</si>
  <si>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</si>
  <si>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</si>
  <si>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</si>
  <si>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</si>
  <si>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</si>
  <si>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</si>
  <si>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</si>
  <si>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</si>
  <si>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</si>
  <si>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</si>
  <si>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</si>
  <si>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</si>
  <si>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</si>
  <si>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</si>
  <si>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</si>
  <si>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</si>
  <si>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</si>
  <si>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</si>
  <si>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</si>
  <si>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</si>
  <si>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</si>
  <si>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</si>
  <si>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</si>
  <si>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</si>
  <si>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</si>
  <si>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</si>
  <si>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</si>
  <si>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</si>
  <si>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</si>
  <si>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</si>
  <si>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</si>
  <si>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</si>
  <si>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</si>
  <si>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</si>
  <si>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</si>
  <si>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</si>
  <si>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</si>
  <si>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</si>
  <si>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</si>
  <si>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</si>
  <si>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</si>
  <si>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</si>
  <si>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</si>
  <si>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</si>
  <si>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</si>
  <si>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</si>
  <si>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</si>
  <si>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</si>
  <si>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</si>
  <si>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</si>
  <si>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</si>
  <si>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</si>
  <si>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</si>
  <si>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</si>
  <si>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</si>
  <si>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</si>
  <si>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</si>
  <si>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</si>
  <si>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</si>
  <si>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</si>
  <si>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</si>
  <si>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</si>
  <si>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</si>
  <si>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</si>
  <si>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</si>
  <si>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</si>
  <si>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</si>
  <si>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</si>
  <si>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</si>
  <si>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</si>
  <si>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</si>
  <si>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</si>
  <si>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</si>
  <si>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</si>
  <si>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</si>
  <si>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</si>
  <si>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</si>
  <si>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</si>
  <si>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</si>
  <si>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</si>
  <si>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</si>
  <si>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</si>
  <si>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</si>
  <si>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</si>
  <si>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</si>
  <si>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</si>
  <si>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</si>
  <si>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</si>
  <si>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</si>
  <si>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</si>
  <si>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</si>
  <si>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</si>
  <si>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</si>
  <si>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</si>
  <si>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</si>
  <si>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</si>
  <si>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</si>
  <si>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</si>
  <si>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</si>
  <si>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</si>
  <si>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</si>
  <si>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</si>
  <si>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</si>
  <si>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</si>
  <si>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</si>
  <si>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</si>
  <si>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</si>
  <si>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</si>
  <si>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</si>
  <si>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</si>
  <si>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</si>
  <si>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</si>
  <si>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</si>
  <si>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</si>
  <si>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</si>
  <si>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</si>
  <si>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</si>
  <si>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</si>
  <si>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</si>
  <si>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</si>
  <si>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</si>
  <si>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</si>
  <si>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</si>
  <si>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</si>
  <si>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</si>
  <si>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</si>
  <si>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</si>
  <si>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</si>
  <si>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</si>
  <si>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</si>
  <si>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</si>
  <si>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</si>
  <si>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</si>
  <si>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</si>
  <si>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</si>
  <si>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</si>
  <si>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</si>
  <si>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</si>
  <si>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</si>
  <si>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</si>
  <si>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</si>
  <si>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</si>
  <si>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</si>
  <si>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</si>
  <si>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</si>
  <si>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</si>
  <si>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</si>
  <si>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</si>
  <si>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</si>
  <si>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</si>
  <si>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</si>
  <si>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</si>
  <si>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</si>
  <si>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</si>
  <si>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</si>
  <si>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</si>
  <si>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</si>
  <si>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</si>
  <si>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</si>
  <si>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</si>
  <si>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</si>
  <si>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</si>
  <si>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</si>
  <si>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</si>
  <si>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</si>
  <si>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</si>
  <si>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</si>
  <si>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</si>
  <si>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</si>
  <si>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</si>
  <si>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</si>
  <si>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</si>
  <si>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</si>
  <si>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</si>
  <si>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</si>
  <si>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</si>
  <si>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</si>
  <si>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</si>
  <si>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</si>
  <si>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</si>
  <si>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</si>
  <si>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</si>
  <si>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</si>
  <si>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</si>
  <si>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</si>
  <si>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</si>
  <si>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</si>
  <si>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</si>
  <si>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</si>
  <si>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</si>
  <si>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</si>
  <si>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</si>
  <si>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</si>
  <si>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</si>
  <si>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</si>
  <si>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</si>
  <si>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</si>
  <si>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</si>
  <si>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</si>
  <si>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</si>
  <si>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</si>
  <si>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</si>
  <si>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</si>
  <si>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</si>
  <si>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</si>
  <si>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</si>
  <si>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</si>
  <si>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</si>
  <si>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</si>
  <si>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</si>
  <si>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</si>
  <si>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</si>
  <si>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</si>
  <si>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</si>
  <si>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</si>
  <si>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</si>
  <si>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</si>
  <si>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</si>
  <si>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</si>
  <si>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</si>
  <si>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</si>
  <si>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</si>
  <si>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</si>
  <si>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</si>
  <si>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</si>
  <si>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</si>
  <si>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</si>
  <si>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</si>
  <si>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</si>
  <si>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</si>
  <si>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</si>
  <si>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</si>
  <si>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</si>
  <si>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</si>
  <si>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</si>
  <si>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</si>
  <si>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</si>
  <si>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</si>
  <si>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</si>
  <si>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</si>
  <si>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</si>
  <si>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</si>
  <si>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</si>
  <si>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</si>
  <si>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</si>
  <si>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</si>
  <si>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</si>
  <si>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</si>
  <si>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</si>
  <si>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</si>
  <si>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</si>
  <si>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</si>
  <si>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</si>
  <si>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</si>
  <si>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</si>
  <si>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</si>
  <si>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</si>
  <si>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</si>
  <si>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</si>
  <si>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</si>
  <si>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</si>
  <si>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</si>
  <si>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</si>
  <si>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</si>
  <si>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</si>
  <si>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</si>
  <si>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</si>
  <si>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</si>
  <si>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</si>
  <si>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</si>
  <si>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</si>
  <si>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</si>
  <si>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</si>
  <si>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</si>
  <si>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</si>
  <si>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</si>
  <si>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</si>
  <si>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</si>
  <si>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</si>
  <si>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</si>
  <si>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</si>
  <si>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</si>
  <si>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</si>
  <si>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</si>
  <si>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</si>
  <si>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</si>
  <si>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</si>
  <si>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</si>
  <si>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</si>
  <si>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</si>
  <si>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</si>
  <si>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</si>
  <si>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</si>
  <si>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</si>
  <si>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</si>
  <si>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</si>
  <si>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</si>
  <si>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</si>
  <si>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</si>
  <si>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</si>
  <si>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</si>
  <si>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</si>
  <si>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</si>
  <si>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</si>
  <si>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</si>
  <si>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</si>
  <si>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</si>
  <si>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</si>
  <si>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</si>
  <si>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</si>
  <si>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</si>
  <si>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</si>
  <si>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</si>
  <si>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</si>
  <si>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</si>
  <si>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</si>
  <si>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</si>
  <si>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</si>
  <si>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</si>
  <si>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</si>
  <si>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</si>
  <si>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</si>
  <si>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</si>
  <si>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</si>
  <si>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</si>
  <si>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</si>
  <si>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</si>
  <si>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</si>
  <si>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</si>
  <si>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</si>
  <si>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</si>
  <si>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</si>
  <si>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</si>
  <si>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</si>
  <si>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</si>
  <si>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</si>
  <si>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</si>
  <si>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</si>
  <si>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</si>
  <si>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</si>
  <si>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</si>
  <si>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</si>
  <si>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</si>
  <si>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</si>
  <si>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</si>
  <si>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</si>
  <si>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</si>
  <si>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</si>
  <si>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</si>
  <si>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</si>
  <si>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</si>
  <si>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</si>
  <si>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</si>
  <si>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</si>
  <si>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</si>
  <si>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</si>
  <si>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</si>
  <si>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</si>
  <si>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</si>
  <si>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</si>
  <si>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</si>
  <si>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</si>
  <si>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</si>
  <si>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</si>
  <si>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</si>
  <si>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</si>
  <si>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</si>
  <si>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</si>
  <si>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</si>
  <si>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</si>
  <si>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</si>
  <si>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</si>
  <si>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</si>
  <si>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</si>
  <si>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</si>
  <si>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</si>
  <si>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</si>
  <si>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</si>
  <si>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</si>
  <si>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</si>
  <si>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</si>
  <si>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</si>
  <si>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</si>
  <si>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</si>
  <si>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</si>
  <si>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</si>
  <si>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</si>
  <si>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</si>
  <si>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</si>
  <si>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</si>
  <si>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</si>
  <si>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</si>
  <si>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</si>
  <si>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</si>
  <si>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</si>
  <si>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</si>
  <si>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</si>
  <si>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</si>
  <si>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</si>
  <si>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</si>
  <si>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</si>
  <si>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</si>
  <si>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</si>
  <si>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</si>
  <si>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</si>
  <si>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</si>
  <si>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</si>
  <si>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</si>
  <si>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</si>
  <si>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</si>
  <si>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</si>
  <si>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</si>
  <si>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</si>
  <si>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</si>
  <si>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</si>
  <si>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</si>
  <si>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</si>
  <si>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</si>
  <si>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</si>
  <si>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</si>
  <si>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</si>
  <si>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</si>
  <si>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</si>
  <si>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</si>
  <si>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</si>
  <si>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</si>
  <si>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</si>
  <si>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</si>
  <si>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</si>
  <si>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</si>
  <si>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</si>
  <si>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</si>
  <si>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</si>
  <si>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</si>
  <si>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</si>
  <si>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</si>
  <si>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</si>
  <si>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</si>
  <si>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</si>
  <si>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</si>
  <si>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</si>
  <si>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</si>
  <si>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</si>
  <si>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</si>
  <si>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</si>
  <si>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</si>
  <si>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</si>
  <si>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</si>
  <si>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</si>
  <si>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</si>
  <si>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</si>
  <si>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</si>
  <si>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</si>
  <si>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</si>
  <si>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</si>
  <si>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</si>
  <si>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</si>
  <si>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</si>
  <si>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</si>
  <si>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</si>
  <si>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</si>
  <si>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</si>
  <si>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</si>
  <si>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</si>
  <si>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</si>
  <si>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</si>
  <si>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</si>
  <si>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</si>
  <si>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</si>
  <si>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</si>
  <si>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</si>
  <si>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</si>
  <si>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</si>
  <si>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</si>
  <si>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</si>
  <si>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</si>
  <si>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</si>
  <si>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</si>
  <si>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</si>
  <si>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</si>
  <si>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</si>
  <si>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</si>
  <si>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</si>
  <si>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</si>
  <si>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</si>
  <si>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</si>
  <si>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</si>
  <si>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</si>
  <si>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</si>
  <si>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</si>
  <si>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</si>
  <si>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</si>
  <si>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</si>
  <si>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</si>
  <si>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</si>
  <si>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</si>
  <si>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</si>
  <si>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</si>
  <si>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</si>
  <si>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</si>
  <si>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</si>
  <si>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</si>
  <si>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</si>
  <si>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</si>
  <si>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</si>
  <si>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</si>
  <si>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</si>
  <si>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</si>
  <si>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</si>
  <si>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</si>
  <si>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</si>
  <si>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</si>
  <si>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</si>
  <si>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</si>
  <si>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</si>
  <si>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</si>
  <si>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</si>
  <si>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</si>
  <si>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</si>
  <si>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</si>
  <si>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</si>
  <si>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</si>
  <si>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</si>
  <si>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</si>
  <si>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</si>
  <si>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</si>
  <si>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</si>
  <si>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</si>
  <si>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</si>
  <si>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</si>
  <si>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</si>
  <si>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</si>
  <si>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</si>
  <si>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</si>
  <si>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</si>
  <si>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</si>
  <si>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</si>
  <si>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</si>
  <si>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</si>
  <si>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</si>
  <si>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</si>
  <si>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</si>
  <si>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</si>
  <si>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</si>
  <si>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</si>
  <si>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</si>
  <si>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</si>
  <si>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</si>
  <si>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</si>
  <si>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</si>
  <si>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</si>
  <si>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</si>
  <si>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</si>
  <si>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</si>
  <si>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</si>
  <si>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</si>
  <si>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</si>
  <si>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</si>
  <si>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</si>
  <si>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</si>
  <si>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</si>
  <si>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</si>
  <si>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</si>
  <si>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</si>
  <si>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</si>
  <si>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</si>
  <si>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</si>
  <si>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</si>
  <si>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</si>
  <si>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</si>
  <si>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</si>
  <si>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</si>
  <si>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</si>
  <si>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</si>
  <si>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</si>
  <si>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</si>
  <si>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</si>
  <si>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</si>
  <si>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</si>
  <si>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</si>
  <si>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</si>
  <si>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</si>
  <si>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</si>
  <si>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</si>
  <si>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</si>
  <si>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</si>
  <si>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</si>
  <si>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</si>
  <si>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</si>
  <si>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</si>
  <si>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</si>
  <si>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</si>
  <si>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</si>
  <si>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</si>
  <si>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</si>
  <si>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</si>
  <si>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</si>
  <si>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</si>
  <si>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</si>
  <si>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</si>
  <si>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</si>
  <si>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</si>
  <si>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</si>
  <si>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</si>
  <si>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</si>
  <si>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</si>
  <si>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</si>
  <si>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</si>
  <si>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</si>
  <si>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</si>
  <si>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</si>
  <si>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</si>
  <si>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</si>
  <si>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</si>
  <si>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</si>
  <si>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</si>
  <si>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</si>
  <si>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</si>
  <si>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</si>
  <si>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</si>
  <si>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</si>
  <si>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</si>
  <si>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</si>
  <si>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</si>
  <si>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</si>
  <si>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</si>
  <si>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</si>
  <si>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</si>
  <si>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</si>
  <si>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</si>
  <si>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</si>
  <si>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</si>
  <si>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</si>
  <si>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</si>
  <si>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</si>
  <si>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</si>
  <si>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</si>
  <si>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</si>
  <si>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</si>
  <si>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</si>
  <si>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</si>
  <si>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</si>
  <si>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</si>
  <si>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</si>
  <si>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</si>
  <si>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</si>
  <si>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</si>
  <si>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</si>
  <si>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</si>
  <si>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</si>
  <si>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</si>
  <si>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</si>
  <si>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</si>
  <si>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</si>
  <si>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</si>
  <si>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</si>
  <si>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</si>
  <si>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</si>
  <si>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</si>
  <si>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</si>
  <si>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</si>
  <si>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</si>
  <si>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</si>
  <si>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</si>
  <si>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</si>
  <si>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</si>
  <si>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</si>
  <si>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</si>
  <si>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</si>
  <si>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</si>
  <si>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</si>
  <si>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</si>
  <si>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</si>
  <si>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</si>
  <si>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</si>
  <si>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</si>
  <si>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</si>
  <si>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</si>
  <si>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</si>
  <si>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</si>
  <si>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</si>
  <si>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</si>
  <si>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</si>
  <si>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</si>
  <si>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</si>
  <si>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</si>
  <si>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</si>
  <si>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</si>
  <si>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</si>
  <si>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</si>
  <si>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</si>
  <si>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</si>
  <si>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</si>
  <si>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</si>
  <si>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</si>
  <si>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</si>
  <si>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</si>
  <si>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</si>
  <si>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</si>
  <si>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</si>
  <si>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</si>
  <si>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</si>
  <si>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</si>
  <si>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</si>
  <si>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</si>
  <si>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</si>
  <si>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</si>
  <si>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</si>
  <si>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</si>
  <si>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</si>
  <si>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</si>
  <si>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</si>
  <si>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</si>
  <si>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</si>
  <si>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</si>
  <si>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</si>
  <si>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</si>
  <si>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</si>
  <si>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</si>
  <si>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</si>
  <si>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</si>
  <si>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</si>
  <si>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</si>
  <si>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</si>
  <si>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</si>
  <si>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</si>
  <si>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</si>
  <si>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</si>
  <si>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</si>
  <si>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</si>
  <si>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</si>
  <si>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</si>
  <si>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</si>
  <si>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</si>
  <si>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</si>
  <si>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</si>
  <si>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</si>
  <si>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</si>
  <si>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</si>
  <si>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</si>
  <si>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</si>
  <si>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</si>
  <si>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</si>
  <si>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</si>
  <si>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</si>
  <si>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</si>
  <si>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</si>
  <si>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</si>
  <si>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</si>
  <si>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</si>
  <si>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</si>
  <si>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</si>
  <si>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</si>
  <si>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</si>
  <si>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</si>
  <si>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</si>
  <si>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</si>
  <si>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</si>
  <si>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</si>
  <si>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</si>
  <si>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</si>
  <si>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</si>
  <si>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</si>
  <si>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</si>
  <si>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</si>
  <si>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</si>
  <si>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</si>
  <si>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</si>
  <si>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</si>
  <si>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</si>
  <si>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</si>
  <si>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</si>
  <si>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</si>
  <si>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</si>
  <si>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</si>
  <si>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</si>
  <si>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</si>
  <si>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</si>
  <si>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</si>
  <si>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</si>
  <si>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</si>
  <si>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</si>
  <si>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</si>
  <si>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</si>
  <si>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</si>
  <si>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</si>
  <si>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</si>
  <si>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</si>
  <si>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</si>
  <si>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</si>
  <si>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</si>
  <si>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</si>
  <si>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</si>
  <si>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</si>
  <si>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</si>
  <si>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</si>
  <si>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</si>
  <si>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</si>
  <si>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</si>
  <si>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</si>
  <si>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</si>
  <si>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</si>
  <si>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</si>
  <si>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</si>
  <si>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</si>
  <si>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</si>
  <si>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</si>
  <si>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</si>
  <si>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</si>
  <si>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</si>
  <si>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</si>
  <si>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</si>
  <si>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</si>
  <si>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</si>
  <si>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</si>
  <si>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</si>
  <si>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</si>
  <si>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</si>
  <si>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</si>
  <si>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</si>
  <si>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</si>
  <si>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</si>
  <si>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</si>
  <si>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</si>
  <si>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</si>
  <si>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</si>
  <si>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</si>
  <si>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</si>
  <si>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</si>
  <si>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</si>
  <si>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</si>
  <si>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</si>
  <si>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</si>
  <si>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</si>
  <si>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</si>
  <si>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</si>
  <si>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</si>
  <si>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</si>
  <si>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</si>
  <si>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</si>
  <si>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</si>
  <si>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</si>
  <si>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</si>
  <si>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</si>
  <si>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</si>
  <si>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</si>
  <si>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</si>
  <si>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</si>
  <si>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</si>
  <si>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</si>
  <si>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</si>
  <si>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</si>
  <si>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</si>
  <si>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</si>
  <si>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</si>
  <si>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</si>
  <si>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</si>
  <si>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</si>
  <si>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</si>
  <si>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</si>
  <si>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</si>
  <si>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</si>
  <si>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</si>
  <si>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</si>
  <si>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</si>
  <si>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</si>
  <si>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</si>
  <si>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</si>
  <si>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</si>
  <si>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</si>
  <si>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</si>
  <si>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</si>
  <si>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</si>
  <si>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</si>
  <si>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</si>
  <si>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</si>
  <si>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</si>
  <si>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</si>
  <si>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</si>
  <si>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</si>
  <si>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</si>
  <si>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</si>
  <si>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</si>
  <si>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</si>
  <si>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</si>
  <si>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</si>
  <si>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</si>
  <si>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</si>
  <si>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</si>
  <si>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</si>
  <si>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</si>
  <si>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</si>
  <si>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</si>
  <si>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</si>
  <si>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</si>
  <si>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</si>
  <si>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</si>
  <si>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</si>
  <si>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</si>
  <si>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</si>
  <si>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</si>
  <si>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</si>
  <si>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</si>
  <si>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</si>
  <si>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</si>
  <si>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</si>
  <si>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</si>
  <si>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</si>
  <si>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</si>
  <si>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</si>
  <si>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</si>
  <si>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</si>
  <si>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</si>
  <si>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</si>
  <si>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</si>
  <si>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</si>
  <si>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</si>
  <si>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</si>
  <si>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</si>
  <si>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</si>
  <si>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</si>
  <si>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</si>
  <si>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</si>
  <si>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</si>
  <si>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</si>
  <si>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</si>
  <si>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</si>
  <si>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</si>
  <si>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</si>
  <si>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</si>
  <si>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</si>
  <si>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</si>
  <si>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</si>
  <si>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</si>
  <si>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</si>
  <si>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</si>
  <si>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</si>
  <si>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</si>
  <si>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</si>
  <si>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</si>
  <si>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</si>
  <si>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</si>
  <si>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</si>
  <si>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</si>
  <si>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</si>
  <si>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</si>
  <si>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</si>
  <si>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</si>
  <si>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</si>
  <si>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</si>
  <si>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</si>
  <si>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</si>
  <si>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</si>
  <si>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</si>
  <si>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</si>
  <si>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</si>
  <si>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</si>
  <si>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</si>
  <si>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</si>
  <si>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</si>
  <si>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</si>
  <si>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</si>
  <si>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</si>
  <si>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</si>
  <si>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</si>
  <si>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</si>
  <si>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</si>
  <si>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</si>
  <si>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</si>
  <si>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</si>
  <si>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</si>
  <si>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</si>
  <si>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</si>
  <si>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</si>
  <si>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</si>
  <si>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</si>
  <si>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</si>
  <si>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</si>
  <si>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</si>
  <si>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</si>
  <si>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</si>
  <si>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</si>
  <si>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</si>
  <si>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</si>
  <si>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</si>
  <si>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</si>
  <si>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</si>
  <si>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</si>
  <si>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</si>
  <si>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</si>
  <si>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</si>
  <si>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</si>
  <si>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</si>
  <si>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</si>
  <si>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</si>
  <si>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</si>
  <si>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</si>
  <si>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</si>
  <si>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</si>
  <si>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</si>
  <si>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</si>
  <si>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</si>
  <si>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</si>
  <si>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</si>
  <si>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</si>
  <si>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</si>
  <si>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</si>
  <si>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</si>
  <si>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</si>
  <si>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</si>
  <si>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</si>
  <si>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</si>
  <si>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</si>
  <si>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</si>
  <si>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</si>
  <si>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</si>
  <si>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</si>
  <si>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</si>
  <si>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</si>
  <si>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</si>
  <si>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</si>
  <si>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</si>
  <si>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</si>
  <si>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</si>
  <si>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</si>
  <si>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</si>
  <si>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</si>
  <si>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</si>
  <si>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</si>
  <si>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</si>
  <si>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</si>
  <si>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</si>
  <si>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</si>
  <si>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</si>
  <si>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</si>
  <si>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</si>
  <si>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</si>
  <si>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</si>
  <si>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</si>
  <si>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</si>
  <si>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</si>
  <si>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</si>
  <si>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</si>
  <si>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</si>
  <si>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</si>
  <si>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</si>
  <si>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</si>
  <si>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</si>
  <si>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</si>
  <si>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</si>
  <si>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</si>
  <si>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</si>
  <si>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</si>
  <si>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</si>
  <si>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</si>
  <si>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</si>
  <si>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</si>
  <si>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</si>
  <si>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</si>
  <si>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</si>
  <si>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</si>
  <si>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</si>
  <si>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</si>
  <si>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</si>
  <si>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</si>
  <si>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</si>
  <si>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</si>
  <si>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</si>
  <si>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</si>
  <si>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</si>
  <si>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</si>
  <si>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</si>
  <si>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</si>
  <si>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</si>
  <si>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</si>
  <si>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</si>
  <si>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</si>
  <si>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</si>
  <si>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</si>
  <si>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</si>
  <si>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</si>
  <si>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</si>
  <si>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</si>
  <si>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</si>
  <si>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</si>
  <si>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</si>
  <si>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</si>
  <si>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</si>
  <si>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</si>
  <si>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</si>
  <si>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</si>
  <si>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</si>
  <si>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</si>
  <si>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</si>
  <si>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</si>
  <si>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</si>
  <si>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</si>
  <si>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</si>
  <si>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</si>
  <si>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</si>
  <si>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</si>
  <si>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</si>
  <si>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</si>
  <si>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</si>
  <si>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</si>
  <si>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</si>
  <si>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</si>
  <si>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</si>
  <si>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</si>
  <si>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</si>
  <si>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</si>
  <si>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</si>
  <si>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</si>
  <si>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</si>
  <si>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</si>
  <si>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</si>
  <si>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</si>
  <si>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</si>
  <si>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</si>
  <si>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</si>
  <si>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</si>
  <si>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</si>
  <si>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</si>
  <si>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</si>
  <si>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</si>
  <si>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</si>
  <si>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</si>
  <si>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</si>
  <si>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</si>
  <si>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</si>
  <si>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</si>
  <si>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</si>
  <si>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</si>
  <si>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</si>
  <si>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</si>
  <si>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</si>
  <si>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</si>
  <si>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</si>
  <si>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</si>
  <si>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</si>
  <si>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</si>
  <si>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</si>
  <si>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</si>
  <si>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</si>
  <si>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</si>
  <si>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</si>
  <si>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</si>
  <si>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</si>
  <si>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</si>
  <si>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</si>
  <si>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</si>
  <si>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</si>
  <si>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</si>
  <si>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</si>
  <si>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</si>
  <si>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</si>
  <si>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</si>
  <si>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</si>
  <si>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</si>
  <si>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</si>
  <si>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</si>
  <si>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</si>
  <si>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</si>
  <si>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</si>
  <si>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</si>
  <si>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</si>
  <si>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</si>
  <si>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</si>
  <si>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</si>
  <si>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</si>
  <si>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</si>
  <si>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</si>
  <si>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</si>
  <si>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</si>
  <si>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</si>
  <si>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</si>
  <si>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</si>
  <si>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</si>
  <si>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</si>
  <si>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</si>
  <si>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</si>
  <si>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</si>
  <si>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</si>
  <si>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</si>
  <si>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</si>
  <si>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</si>
  <si>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</si>
  <si>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</si>
  <si>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</si>
  <si>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</si>
  <si>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</si>
  <si>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</si>
  <si>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</si>
  <si>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</si>
  <si>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</si>
  <si>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</si>
  <si>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</si>
  <si>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</si>
  <si>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</si>
  <si>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</si>
  <si>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</si>
  <si>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</si>
  <si>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</si>
  <si>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</si>
  <si>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</si>
  <si>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</si>
  <si>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</si>
  <si>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</si>
  <si>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</si>
  <si>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</si>
  <si>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</si>
  <si>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</si>
  <si>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</si>
  <si>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</si>
  <si>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</si>
  <si>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</si>
  <si>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</si>
  <si>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</si>
  <si>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</si>
  <si>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</si>
  <si>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</si>
  <si>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</si>
  <si>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</si>
  <si>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</si>
  <si>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</si>
  <si>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</si>
  <si>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</si>
  <si>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</si>
  <si>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</si>
  <si>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</si>
  <si>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</si>
  <si>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</si>
  <si>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</si>
  <si>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</si>
  <si>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</si>
  <si>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</si>
  <si>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</si>
  <si>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</si>
  <si>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</si>
  <si>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</si>
  <si>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</si>
  <si>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</si>
  <si>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</si>
  <si>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</si>
  <si>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</si>
  <si>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</si>
  <si>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</si>
  <si>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</si>
  <si>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</si>
  <si>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</si>
  <si>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</si>
  <si>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</si>
  <si>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</si>
  <si>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</si>
  <si>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</si>
  <si>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</si>
  <si>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</si>
  <si>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</si>
  <si>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</si>
  <si>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</si>
  <si>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</si>
  <si>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</si>
  <si>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</si>
  <si>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</si>
  <si>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</si>
  <si>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</si>
  <si>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</si>
  <si>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</si>
  <si>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</si>
  <si>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</si>
  <si>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</si>
  <si>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</si>
  <si>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</si>
  <si>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</si>
  <si>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</si>
  <si>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</si>
  <si>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</si>
  <si>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</si>
  <si>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</si>
  <si>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</si>
  <si>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</si>
  <si>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</si>
  <si>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</si>
  <si>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</si>
  <si>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</si>
  <si>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</si>
  <si>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</si>
  <si>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</si>
  <si>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</si>
  <si>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</si>
  <si>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</si>
  <si>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</si>
  <si>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</si>
  <si>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</si>
  <si>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</si>
  <si>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</si>
  <si>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</si>
  <si>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</si>
  <si>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</si>
  <si>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</si>
  <si>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</si>
  <si>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</si>
  <si>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</si>
  <si>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</si>
  <si>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</si>
  <si>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</si>
  <si>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</si>
  <si>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</si>
  <si>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</si>
  <si>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</si>
  <si>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</si>
  <si>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</si>
  <si>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</si>
  <si>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</si>
  <si>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</si>
  <si>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</si>
  <si>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</si>
  <si>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</si>
  <si>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</si>
  <si>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</si>
  <si>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</si>
  <si>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</si>
  <si>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</si>
  <si>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</si>
  <si>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</si>
  <si>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</si>
  <si>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</si>
  <si>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</si>
  <si>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</si>
  <si>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</si>
  <si>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</si>
  <si>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</si>
  <si>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</si>
  <si>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</si>
  <si>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</si>
  <si>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</si>
  <si>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</si>
  <si>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</si>
  <si>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</si>
  <si>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</si>
  <si>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</si>
  <si>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</si>
  <si>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</si>
  <si>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</si>
  <si>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</si>
  <si>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</si>
  <si>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</si>
  <si>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</si>
  <si>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</si>
  <si>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</si>
  <si>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</si>
  <si>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</si>
  <si>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</si>
  <si>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</si>
  <si>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</si>
  <si>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</si>
  <si>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</si>
  <si>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</si>
  <si>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</si>
  <si>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</si>
  <si>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</si>
  <si>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</si>
  <si>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</si>
  <si>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</si>
  <si>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</si>
  <si>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</si>
  <si>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</si>
  <si>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</si>
  <si>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</si>
  <si>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</si>
  <si>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</si>
  <si>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</si>
  <si>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</si>
  <si>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</si>
  <si>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</si>
  <si>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</si>
  <si>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</si>
  <si>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</si>
  <si>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</si>
  <si>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</si>
  <si>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</si>
  <si>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</si>
  <si>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</si>
  <si>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</si>
  <si>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</si>
  <si>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</si>
  <si>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</si>
  <si>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</si>
  <si>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</si>
  <si>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</si>
  <si>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</si>
  <si>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</si>
  <si>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</si>
  <si>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</si>
  <si>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</si>
  <si>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</si>
  <si>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</si>
  <si>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</si>
  <si>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</si>
  <si>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</si>
  <si>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</si>
  <si>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</si>
  <si>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</si>
  <si>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</si>
  <si>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</si>
  <si>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</si>
  <si>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</si>
  <si>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</si>
  <si>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</si>
  <si>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</si>
  <si>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</si>
  <si>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</si>
  <si>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</si>
  <si>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</si>
  <si>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</si>
  <si>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</si>
  <si>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</si>
  <si>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</si>
  <si>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</si>
  <si>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</si>
  <si>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</si>
  <si>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</si>
  <si>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</si>
  <si>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</si>
  <si>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</si>
  <si>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</si>
  <si>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</si>
  <si>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</si>
  <si>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</si>
  <si>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</si>
  <si>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</si>
  <si>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</si>
  <si>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</si>
  <si>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</si>
  <si>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</si>
  <si>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</si>
  <si>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</si>
  <si>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</si>
  <si>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</si>
  <si>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</si>
  <si>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</si>
  <si>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</si>
  <si>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</si>
  <si>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</si>
  <si>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</si>
  <si>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</si>
  <si>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</si>
  <si>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</si>
  <si>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</si>
  <si>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</si>
  <si>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</si>
  <si>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</si>
  <si>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</si>
  <si>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</si>
  <si>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</si>
  <si>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</si>
  <si>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</si>
  <si>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</si>
  <si>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</si>
  <si>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</si>
  <si>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</si>
  <si>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</si>
  <si>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</si>
  <si>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</si>
  <si>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</si>
  <si>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</si>
  <si>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</si>
  <si>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</si>
  <si>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</si>
  <si>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</si>
  <si>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</si>
  <si>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</si>
  <si>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</si>
  <si>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</si>
  <si>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</si>
  <si>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</si>
  <si>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</si>
  <si>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</si>
  <si>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</si>
  <si>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</si>
  <si>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</si>
  <si>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</si>
  <si>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</si>
  <si>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</si>
  <si>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</si>
  <si>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</si>
  <si>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</si>
  <si>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</si>
  <si>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</si>
  <si>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</si>
  <si>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</si>
  <si>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</si>
  <si>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</si>
  <si>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</si>
  <si>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</si>
  <si>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</si>
  <si>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</si>
  <si>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</si>
  <si>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</si>
  <si>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</si>
  <si>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</si>
  <si>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</si>
  <si>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</si>
  <si>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</si>
  <si>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</si>
  <si>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</si>
  <si>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</si>
  <si>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</si>
  <si>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</si>
  <si>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</si>
  <si>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</si>
  <si>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</si>
  <si>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</si>
  <si>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</si>
  <si>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</si>
  <si>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</si>
  <si>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</si>
  <si>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</si>
  <si>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</si>
  <si>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</si>
  <si>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</si>
  <si>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</si>
  <si>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</si>
  <si>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</si>
  <si>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</si>
  <si>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</si>
  <si>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</si>
  <si>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</si>
  <si>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</si>
  <si>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</si>
  <si>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</si>
  <si>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</si>
  <si>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</si>
  <si>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</si>
  <si>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</si>
  <si>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</si>
  <si>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</si>
  <si>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</si>
  <si>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</si>
  <si>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</si>
  <si>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</si>
  <si>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</si>
  <si>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</si>
  <si>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</si>
  <si>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</si>
  <si>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</si>
  <si>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</si>
  <si>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</si>
  <si>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</si>
  <si>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</si>
  <si>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</si>
  <si>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</si>
  <si>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</si>
  <si>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</si>
  <si>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</si>
  <si>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</si>
  <si>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</si>
  <si>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</si>
  <si>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</si>
  <si>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</si>
  <si>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</si>
  <si>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</si>
  <si>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</si>
  <si>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</si>
  <si>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</si>
  <si>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</si>
  <si>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</si>
  <si>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</si>
  <si>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</si>
  <si>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</si>
  <si>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</si>
  <si>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</si>
  <si>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</si>
  <si>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</si>
  <si>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</si>
  <si>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</si>
  <si>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</si>
  <si>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</si>
  <si>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</si>
  <si>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</si>
  <si>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</si>
  <si>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</si>
  <si>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</si>
  <si>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</si>
  <si>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</si>
  <si>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</si>
  <si>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</si>
  <si>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</si>
  <si>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</si>
  <si>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</si>
  <si>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</si>
  <si>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</si>
  <si>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</si>
  <si>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</si>
  <si>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</si>
  <si>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</si>
  <si>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</si>
  <si>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</si>
  <si>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</si>
  <si>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</si>
  <si>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</si>
  <si>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</si>
  <si>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</si>
  <si>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</si>
  <si>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</si>
  <si>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</si>
  <si>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</si>
  <si>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</si>
  <si>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</si>
  <si>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</si>
  <si>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</si>
  <si>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</si>
  <si>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</si>
  <si>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</si>
  <si>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</si>
  <si>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</si>
  <si>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</si>
  <si>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</si>
  <si>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</si>
  <si>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</si>
  <si>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</si>
  <si>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</si>
  <si>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</si>
  <si>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</si>
  <si>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</si>
  <si>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</si>
  <si>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</si>
  <si>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</si>
  <si>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</si>
  <si>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</si>
  <si>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</si>
  <si>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</si>
  <si>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</si>
  <si>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</si>
  <si>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</si>
  <si>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</si>
  <si>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</si>
  <si>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</si>
  <si>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</si>
  <si>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</si>
  <si>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</si>
  <si>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</si>
  <si>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</si>
  <si>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</si>
  <si>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</si>
  <si>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</si>
  <si>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</si>
  <si>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</si>
  <si>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</si>
  <si>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</si>
  <si>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</si>
  <si>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</si>
  <si>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</si>
  <si>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</si>
  <si>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</si>
  <si>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</si>
  <si>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</si>
  <si>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</si>
  <si>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</si>
  <si>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</si>
  <si>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</si>
  <si>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</si>
  <si>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</si>
  <si>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</si>
  <si>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</si>
  <si>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</si>
  <si>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</si>
  <si>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</si>
  <si>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</si>
  <si>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</si>
  <si>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</si>
  <si>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</si>
  <si>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</si>
  <si>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</si>
  <si>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</si>
  <si>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</si>
  <si>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</si>
  <si>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</si>
  <si>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</si>
  <si>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</si>
  <si>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</si>
  <si>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</si>
  <si>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</si>
  <si>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</si>
  <si>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</si>
  <si>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</si>
  <si>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</si>
  <si>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</si>
  <si>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</si>
  <si>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</si>
  <si>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</si>
  <si>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</si>
  <si>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</si>
  <si>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</si>
  <si>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</si>
  <si>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</si>
  <si>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</si>
  <si>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</si>
  <si>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</si>
  <si>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</si>
  <si>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</si>
  <si>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</si>
  <si>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</si>
  <si>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</si>
  <si>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</si>
  <si>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</si>
  <si>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</si>
  <si>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</si>
  <si>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</si>
  <si>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</si>
  <si>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</si>
  <si>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</si>
  <si>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</si>
  <si>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</si>
  <si>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</si>
  <si>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</si>
  <si>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</si>
  <si>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</si>
  <si>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</si>
  <si>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</si>
  <si>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</si>
  <si>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</si>
  <si>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</si>
  <si>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</si>
  <si>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</si>
  <si>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</si>
  <si>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</si>
  <si>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</si>
  <si>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</si>
  <si>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</si>
  <si>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</si>
  <si>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</si>
  <si>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</si>
  <si>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</si>
  <si>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</si>
  <si>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</si>
  <si>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</si>
  <si>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</si>
  <si>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</si>
  <si>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</si>
  <si>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</si>
  <si>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</si>
  <si>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</si>
  <si>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</si>
  <si>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</si>
  <si>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</si>
  <si>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</si>
  <si>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</si>
  <si>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</si>
  <si>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</si>
  <si>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</si>
  <si>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</si>
  <si>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</si>
  <si>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</si>
  <si>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</si>
  <si>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</si>
  <si>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</si>
  <si>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</si>
  <si>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</si>
  <si>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</si>
  <si>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</si>
  <si>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</si>
  <si>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</si>
  <si>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</si>
  <si>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</si>
  <si>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</si>
  <si>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</si>
  <si>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</si>
  <si>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</si>
  <si>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</si>
  <si>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</si>
  <si>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</si>
  <si>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</si>
  <si>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</si>
  <si>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</si>
  <si>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</si>
  <si>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</si>
  <si>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</si>
  <si>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</si>
  <si>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</si>
  <si>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</si>
  <si>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</si>
  <si>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</si>
  <si>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</si>
  <si>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</si>
  <si>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</si>
  <si>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</si>
  <si>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</si>
  <si>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</si>
  <si>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</si>
  <si>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</si>
  <si>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</si>
  <si>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</si>
  <si>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</si>
  <si>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</si>
  <si>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</si>
  <si>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</si>
  <si>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</si>
  <si>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</si>
  <si>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</si>
  <si>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</si>
  <si>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</si>
  <si>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</si>
  <si>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</si>
  <si>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</si>
  <si>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</si>
  <si>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</si>
  <si>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</si>
  <si>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</si>
  <si>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</si>
  <si>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</si>
  <si>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</si>
  <si>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</si>
  <si>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</si>
  <si>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</si>
  <si>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</si>
  <si>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</si>
  <si>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</si>
  <si>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</si>
  <si>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</si>
  <si>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</si>
  <si>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</si>
  <si>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</si>
  <si>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</si>
  <si>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</si>
  <si>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</si>
  <si>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</si>
  <si>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</si>
  <si>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</si>
  <si>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</si>
  <si>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</si>
  <si>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</si>
  <si>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</si>
  <si>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</si>
  <si>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</si>
  <si>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</si>
  <si>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</si>
  <si>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</si>
  <si>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</si>
  <si>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</si>
  <si>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</si>
  <si>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</si>
  <si>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</si>
  <si>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</si>
  <si>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</si>
  <si>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</si>
  <si>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</si>
  <si>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</si>
  <si>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</si>
  <si>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</si>
  <si>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</si>
  <si>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</si>
  <si>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</si>
  <si>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</si>
  <si>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</si>
  <si>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</si>
  <si>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</si>
  <si>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</si>
  <si>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</si>
  <si>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</si>
  <si>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</si>
  <si>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</si>
  <si>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</si>
  <si>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</si>
  <si>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</si>
  <si>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</si>
  <si>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</si>
  <si>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</si>
  <si>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</si>
  <si>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</si>
  <si>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</si>
  <si>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</si>
  <si>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</si>
  <si>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</si>
  <si>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</si>
  <si>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</si>
  <si>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</si>
  <si>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</si>
  <si>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</si>
  <si>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</si>
  <si>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</si>
  <si>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</si>
  <si>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</si>
  <si>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</si>
  <si>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</si>
  <si>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</si>
  <si>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</si>
  <si>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</si>
  <si>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</si>
  <si>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</si>
  <si>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</si>
  <si>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</si>
  <si>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</si>
  <si>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</si>
  <si>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</si>
  <si>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</si>
  <si>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</si>
  <si>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</si>
  <si>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</si>
  <si>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</si>
  <si>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</si>
  <si>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</si>
  <si>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</si>
  <si>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</si>
  <si>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</si>
  <si>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</si>
  <si>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</si>
  <si>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</si>
  <si>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</si>
  <si>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</si>
  <si>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</si>
  <si>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</si>
  <si>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</si>
  <si>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</si>
  <si>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</si>
  <si>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</si>
  <si>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</si>
  <si>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</si>
  <si>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</si>
  <si>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</si>
  <si>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</si>
  <si>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</si>
  <si>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</si>
  <si>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</si>
  <si>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</si>
  <si>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</si>
  <si>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</si>
  <si>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</si>
  <si>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</si>
  <si>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</si>
  <si>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</si>
  <si>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</si>
  <si>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</si>
  <si>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</si>
  <si>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</si>
  <si>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</si>
  <si>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</si>
  <si>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</si>
  <si>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</si>
  <si>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</si>
  <si>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</si>
  <si>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</si>
  <si>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</si>
  <si>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</si>
  <si>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</si>
  <si>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</si>
  <si>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</si>
  <si>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</si>
  <si>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</si>
  <si>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</si>
  <si>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</si>
  <si>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</si>
  <si>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</si>
  <si>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</si>
  <si>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</si>
  <si>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</si>
  <si>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</si>
  <si>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</si>
  <si>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</si>
  <si>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</si>
  <si>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</si>
  <si>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</si>
  <si>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</si>
  <si>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</si>
  <si>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</si>
  <si>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</si>
  <si>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</si>
  <si>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</si>
  <si>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</si>
  <si>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</si>
  <si>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</si>
  <si>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</si>
  <si>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</si>
  <si>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</si>
  <si>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</si>
  <si>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</si>
  <si>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</si>
  <si>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</si>
  <si>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</si>
  <si>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</si>
  <si>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</si>
  <si>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</si>
  <si>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</si>
  <si>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</si>
  <si>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</si>
  <si>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</si>
  <si>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</si>
  <si>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</si>
  <si>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</si>
  <si>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</si>
  <si>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</si>
  <si>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</si>
  <si>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</si>
  <si>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</si>
  <si>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</si>
  <si>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</si>
  <si>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</si>
  <si>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</si>
  <si>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</si>
  <si>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</si>
  <si>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</si>
  <si>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</si>
  <si>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</si>
  <si>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</si>
  <si>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</si>
  <si>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</si>
  <si>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</si>
  <si>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</si>
  <si>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</si>
  <si>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</si>
  <si>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</si>
  <si>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</si>
  <si>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</si>
  <si>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</si>
  <si>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</si>
  <si>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</si>
  <si>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</si>
  <si>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</si>
  <si>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</si>
  <si>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</si>
  <si>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</si>
  <si>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</si>
  <si>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</si>
  <si>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</si>
  <si>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</si>
  <si>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</si>
  <si>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</si>
  <si>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</si>
  <si>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</si>
  <si>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</si>
  <si>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</si>
  <si>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</si>
  <si>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</si>
  <si>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</si>
  <si>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</si>
  <si>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</si>
  <si>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</si>
  <si>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</si>
  <si>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</si>
  <si>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</si>
  <si>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</si>
  <si>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</si>
  <si>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</si>
  <si>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</si>
  <si>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</si>
  <si>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</si>
  <si>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</si>
  <si>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</si>
  <si>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</si>
  <si>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</si>
  <si>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</si>
  <si>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</si>
  <si>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</si>
  <si>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</si>
  <si>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</si>
  <si>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</si>
  <si>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</si>
  <si>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</si>
  <si>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</si>
  <si>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</si>
  <si>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</si>
  <si>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</si>
  <si>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</si>
  <si>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</si>
  <si>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</si>
  <si>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</si>
  <si>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</si>
  <si>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</si>
  <si>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</si>
  <si>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</si>
  <si>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</si>
  <si>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</si>
  <si>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</si>
  <si>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</si>
  <si>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</si>
  <si>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</si>
  <si>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</si>
  <si>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</si>
  <si>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</si>
  <si>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</si>
  <si>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</si>
  <si>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</si>
  <si>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</si>
  <si>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</si>
  <si>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</si>
  <si>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</si>
  <si>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</si>
  <si>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</si>
  <si>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</si>
  <si>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</si>
  <si>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</si>
  <si>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</si>
  <si>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</si>
  <si>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</si>
  <si>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</si>
  <si>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</si>
  <si>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</si>
  <si>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</si>
  <si>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</si>
  <si>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</si>
  <si>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</si>
  <si>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</si>
  <si>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</si>
  <si>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</si>
  <si>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</si>
  <si>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</si>
  <si>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</si>
  <si>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</si>
  <si>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</si>
  <si>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</si>
  <si>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</si>
  <si>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</si>
  <si>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</si>
  <si>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</si>
  <si>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</si>
  <si>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</si>
  <si>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</si>
  <si>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</si>
  <si>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</si>
  <si>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</si>
  <si>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</si>
  <si>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</si>
  <si>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</si>
  <si>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</si>
  <si>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</si>
  <si>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</si>
  <si>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</si>
  <si>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</si>
  <si>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</si>
  <si>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</si>
  <si>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</si>
  <si>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</si>
  <si>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</si>
  <si>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</si>
  <si>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</si>
  <si>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</si>
  <si>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</si>
  <si>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</si>
  <si>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</si>
  <si>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</si>
  <si>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</si>
  <si>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</si>
  <si>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</si>
  <si>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</si>
  <si>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</si>
  <si>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</si>
  <si>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</si>
  <si>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</si>
  <si>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</si>
  <si>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</si>
  <si>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</si>
  <si>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</si>
  <si>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</si>
  <si>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</si>
  <si>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</si>
  <si>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</si>
  <si>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</si>
  <si>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</si>
  <si>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</si>
  <si>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</si>
  <si>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</si>
  <si>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</si>
  <si>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</si>
  <si>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</si>
  <si>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</si>
  <si>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</si>
  <si>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</si>
  <si>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</si>
  <si>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</si>
  <si>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</si>
  <si>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</si>
  <si>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</si>
  <si>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</si>
  <si>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</si>
  <si>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</si>
  <si>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</si>
  <si>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</si>
  <si>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</si>
  <si>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</si>
  <si>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</si>
  <si>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</si>
  <si>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</si>
  <si>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</si>
  <si>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</si>
  <si>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</si>
  <si>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</si>
  <si>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</si>
  <si>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</si>
  <si>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</si>
  <si>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</si>
  <si>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</si>
  <si>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</si>
  <si>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</si>
  <si>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</si>
  <si>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</si>
  <si>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</si>
  <si>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</si>
  <si>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</si>
  <si>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</si>
  <si>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</si>
  <si>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</si>
  <si>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</si>
  <si>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</si>
  <si>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</si>
  <si>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</si>
  <si>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</si>
  <si>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</si>
  <si>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</si>
  <si>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</si>
  <si>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</si>
  <si>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</si>
  <si>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</si>
  <si>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</si>
  <si>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</si>
  <si>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</si>
  <si>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</si>
  <si>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</si>
  <si>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</si>
  <si>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</si>
  <si>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</si>
  <si>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</si>
  <si>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</si>
  <si>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</si>
  <si>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</si>
  <si>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</si>
  <si>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</si>
  <si>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</si>
  <si>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</si>
  <si>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</si>
  <si>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</si>
  <si>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</si>
  <si>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</si>
  <si>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</si>
  <si>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</si>
  <si>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</si>
  <si>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</si>
  <si>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</si>
  <si>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</si>
  <si>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</si>
  <si>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</si>
  <si>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</si>
  <si>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</si>
  <si>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</si>
  <si>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</si>
  <si>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</si>
  <si>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</si>
  <si>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</si>
  <si>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</si>
  <si>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</si>
  <si>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</si>
  <si>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</si>
  <si>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</si>
  <si>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</si>
  <si>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</si>
  <si>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</si>
  <si>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</si>
  <si>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</si>
  <si>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</si>
  <si>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</si>
  <si>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</si>
  <si>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</si>
  <si>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</si>
  <si>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</si>
  <si>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</si>
  <si>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</si>
  <si>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</si>
  <si>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</si>
  <si>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</si>
  <si>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</si>
  <si>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</si>
  <si>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</si>
  <si>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</si>
  <si>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</si>
  <si>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</si>
  <si>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</si>
  <si>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</si>
  <si>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</si>
  <si>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</si>
  <si>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</si>
  <si>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</si>
  <si>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</si>
  <si>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</si>
  <si>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</si>
  <si>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</si>
  <si>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</si>
  <si>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</si>
  <si>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</si>
  <si>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</si>
  <si>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</si>
  <si>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</si>
  <si>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</si>
  <si>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</si>
  <si>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</si>
  <si>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</si>
  <si>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</si>
  <si>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</si>
  <si>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</si>
  <si>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</si>
  <si>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</si>
  <si>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</si>
  <si>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</si>
  <si>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</si>
  <si>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</si>
  <si>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</si>
  <si>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</si>
  <si>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</si>
  <si>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</si>
  <si>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</si>
  <si>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</si>
  <si>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</si>
  <si>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</si>
  <si>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</si>
  <si>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</si>
  <si>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</si>
  <si>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</si>
  <si>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</si>
  <si>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</si>
  <si>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</si>
  <si>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</si>
  <si>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</si>
  <si>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</si>
  <si>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</si>
  <si>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</si>
  <si>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</si>
  <si>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</si>
  <si>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</si>
  <si>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</si>
  <si>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</si>
  <si>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</si>
  <si>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</si>
  <si>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</si>
  <si>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</si>
  <si>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</si>
  <si>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</si>
  <si>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</si>
  <si>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</si>
  <si>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</si>
  <si>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</si>
  <si>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</si>
  <si>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</si>
  <si>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</si>
  <si>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</si>
  <si>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</si>
  <si>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</si>
  <si>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</si>
  <si>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</si>
  <si>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</si>
  <si>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</si>
  <si>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</si>
  <si>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</si>
  <si>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</si>
  <si>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</si>
  <si>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</si>
  <si>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</si>
  <si>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</si>
  <si>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</si>
  <si>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</si>
  <si>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</si>
  <si>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</si>
  <si>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</si>
  <si>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</si>
  <si>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</si>
  <si>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</si>
  <si>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</si>
  <si>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</si>
  <si>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</si>
  <si>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</si>
  <si>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</si>
  <si>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</si>
  <si>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</si>
  <si>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</si>
  <si>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</si>
  <si>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</si>
  <si>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</si>
  <si>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</si>
  <si>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</si>
  <si>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</si>
  <si>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</si>
  <si>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</si>
  <si>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</si>
  <si>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</si>
  <si>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</si>
  <si>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</si>
  <si>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</si>
  <si>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</si>
  <si>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</si>
  <si>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</si>
  <si>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</si>
  <si>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</si>
  <si>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</si>
  <si>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</si>
  <si>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</si>
  <si>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</si>
  <si>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</si>
  <si>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</si>
  <si>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</si>
  <si>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</si>
  <si>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</si>
  <si>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</si>
  <si>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</si>
  <si>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</si>
  <si>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</si>
  <si>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</si>
  <si>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</si>
  <si>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</si>
  <si>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</si>
  <si>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</si>
  <si>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</si>
  <si>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</si>
  <si>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</si>
  <si>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</si>
  <si>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</si>
  <si>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</si>
  <si>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</si>
  <si>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</si>
  <si>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</si>
  <si>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</si>
  <si>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</si>
  <si>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</si>
  <si>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</si>
  <si>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</si>
  <si>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</si>
  <si>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</si>
  <si>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</si>
  <si>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</si>
  <si>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</si>
  <si>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</si>
  <si>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</si>
  <si>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</si>
  <si>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</si>
  <si>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</si>
  <si>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</si>
  <si>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</si>
  <si>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</si>
  <si>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</si>
  <si>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</si>
  <si>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</si>
  <si>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</si>
  <si>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</si>
  <si>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</si>
  <si>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</si>
  <si>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</si>
  <si>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</si>
  <si>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</si>
  <si>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</si>
  <si>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</si>
  <si>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</si>
  <si>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</si>
  <si>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</si>
  <si>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</si>
  <si>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</si>
  <si>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</si>
  <si>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</si>
  <si>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</si>
  <si>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</si>
  <si>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</si>
  <si>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</si>
  <si>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</si>
  <si>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</si>
  <si>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</si>
  <si>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</si>
  <si>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</si>
  <si>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</si>
  <si>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</si>
  <si>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</si>
  <si>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</si>
  <si>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</si>
  <si>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</si>
  <si>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</si>
  <si>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</si>
  <si>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</si>
  <si>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</si>
  <si>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</si>
  <si>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</si>
  <si>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</si>
  <si>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</si>
  <si>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</si>
  <si>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</si>
  <si>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</si>
  <si>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</si>
  <si>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</si>
  <si>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</si>
  <si>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</si>
  <si>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</si>
  <si>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</si>
  <si>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</si>
  <si>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</si>
  <si>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</si>
  <si>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</si>
  <si>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</si>
  <si>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</si>
  <si>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</si>
  <si>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</si>
  <si>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</si>
  <si>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</si>
  <si>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</si>
  <si>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</si>
  <si>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</si>
  <si>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</si>
  <si>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</si>
  <si>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</si>
  <si>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</si>
  <si>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</si>
  <si>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</si>
  <si>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</si>
  <si>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</si>
  <si>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</si>
  <si>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</si>
  <si>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</si>
  <si>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</si>
  <si>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</si>
  <si>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</si>
  <si>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</si>
  <si>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</si>
  <si>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</si>
  <si>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</si>
  <si>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</si>
  <si>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</si>
  <si>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</si>
  <si>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</si>
  <si>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</si>
  <si>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</si>
  <si>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</si>
  <si>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</si>
  <si>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</si>
  <si>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</si>
  <si>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</si>
  <si>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</si>
  <si>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</si>
  <si>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</si>
  <si>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</si>
  <si>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</si>
  <si>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</si>
  <si>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</si>
  <si>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</si>
  <si>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</si>
  <si>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</si>
  <si>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</si>
  <si>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</si>
  <si>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</si>
  <si>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</si>
  <si>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</si>
  <si>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</si>
  <si>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</si>
  <si>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</si>
  <si>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</si>
  <si>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</si>
  <si>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</si>
  <si>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</si>
  <si>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</si>
  <si>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</si>
  <si>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</si>
  <si>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</si>
  <si>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</si>
  <si>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</si>
  <si>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</si>
  <si>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</si>
  <si>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</si>
  <si>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</si>
  <si>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</si>
  <si>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</si>
  <si>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</si>
  <si>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</si>
  <si>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</si>
  <si>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</si>
  <si>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</si>
  <si>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</si>
  <si>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</si>
  <si>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</si>
  <si>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</si>
  <si>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</si>
  <si>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</si>
  <si>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</si>
  <si>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</si>
  <si>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</si>
  <si>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</si>
  <si>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</si>
  <si>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</si>
  <si>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</si>
  <si>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</si>
  <si>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</si>
  <si>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</si>
  <si>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</si>
  <si>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</si>
  <si>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</si>
  <si>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</si>
  <si>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</si>
  <si>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</si>
  <si>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</si>
  <si>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</si>
  <si>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</si>
  <si>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</si>
  <si>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</si>
  <si>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</si>
  <si>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</si>
  <si>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</si>
  <si>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</si>
  <si>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</si>
  <si>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</si>
  <si>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</si>
  <si>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</si>
  <si>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</si>
  <si>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</si>
  <si>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</si>
  <si>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</si>
  <si>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</si>
  <si>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</si>
  <si>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</si>
  <si>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</si>
  <si>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</si>
  <si>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</si>
  <si>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</si>
  <si>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</si>
  <si>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</si>
  <si>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</si>
  <si>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</si>
  <si>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</si>
  <si>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</si>
  <si>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</si>
  <si>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</si>
  <si>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</si>
  <si>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</si>
  <si>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</si>
  <si>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</si>
  <si>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</si>
  <si>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</si>
  <si>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</si>
  <si>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</si>
  <si>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</si>
  <si>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</si>
  <si>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</si>
  <si>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</si>
  <si>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</si>
  <si>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</si>
  <si>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</si>
  <si>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</si>
  <si>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</si>
  <si>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</si>
  <si>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</si>
  <si>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</si>
  <si>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</si>
  <si>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</si>
  <si>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</si>
  <si>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</si>
  <si>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</si>
  <si>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</si>
  <si>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</si>
  <si>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</si>
  <si>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</si>
  <si>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</si>
  <si>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</si>
  <si>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</si>
  <si>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</si>
  <si>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</si>
  <si>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</si>
  <si>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</si>
  <si>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</si>
  <si>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</si>
  <si>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</si>
  <si>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</si>
  <si>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</si>
  <si>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</si>
  <si>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</si>
  <si>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</si>
  <si>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</si>
  <si>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</si>
  <si>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</si>
  <si>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</si>
  <si>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</si>
  <si>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</si>
  <si>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</si>
  <si>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</si>
  <si>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</si>
  <si>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</si>
  <si>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</si>
  <si>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</si>
  <si>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</si>
  <si>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</si>
  <si>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</si>
  <si>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</si>
  <si>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</si>
  <si>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</si>
  <si>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</si>
  <si>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</si>
  <si>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</si>
  <si>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</si>
  <si>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</si>
  <si>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</si>
  <si>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</si>
  <si>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</si>
  <si>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</si>
  <si>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</si>
  <si>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</si>
  <si>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</si>
  <si>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</si>
  <si>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</si>
  <si>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</si>
  <si>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</si>
  <si>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</si>
  <si>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</si>
  <si>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</si>
  <si>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</si>
  <si>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</si>
  <si>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</si>
  <si>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</si>
  <si>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</si>
  <si>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</si>
  <si>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</si>
  <si>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</si>
  <si>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</si>
  <si>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</si>
  <si>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</si>
  <si>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</si>
  <si>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</si>
  <si>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</si>
  <si>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</si>
  <si>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</si>
  <si>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</si>
  <si>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</si>
  <si>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</si>
  <si>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</si>
  <si>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</si>
  <si>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</si>
  <si>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</si>
  <si>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</si>
  <si>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</si>
  <si>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</si>
  <si>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</si>
  <si>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</si>
  <si>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</si>
  <si>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</si>
  <si>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</si>
  <si>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</si>
  <si>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</si>
  <si>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</si>
  <si>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</si>
  <si>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</si>
  <si>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</si>
  <si>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</si>
  <si>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</si>
  <si>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</si>
  <si>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</si>
  <si>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</si>
  <si>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</si>
  <si>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</si>
  <si>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</si>
  <si>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</si>
  <si>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</si>
  <si>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</si>
  <si>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</si>
  <si>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</si>
  <si>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</si>
  <si>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</si>
  <si>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</si>
  <si>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</si>
  <si>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</si>
  <si>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</si>
  <si>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</si>
  <si>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</si>
  <si>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</si>
  <si>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</si>
  <si>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</si>
  <si>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</si>
  <si>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</si>
  <si>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</si>
  <si>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</si>
  <si>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</si>
  <si>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</si>
  <si>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</si>
  <si>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</si>
  <si>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</si>
  <si>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</si>
  <si>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</si>
  <si>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</si>
  <si>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</si>
  <si>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</si>
  <si>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</si>
  <si>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</si>
  <si>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</si>
  <si>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</si>
  <si>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</si>
  <si>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</si>
  <si>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</si>
  <si>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</si>
  <si>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</si>
  <si>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</si>
  <si>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</si>
  <si>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</si>
  <si>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</si>
  <si>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</si>
  <si>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</si>
  <si>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</si>
  <si>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</si>
  <si>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</si>
  <si>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</si>
  <si>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</si>
  <si>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</si>
  <si>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</si>
  <si>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</si>
  <si>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</si>
  <si>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</si>
  <si>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</si>
  <si>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</si>
  <si>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</si>
  <si>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</si>
  <si>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</si>
  <si>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</si>
  <si>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</si>
  <si>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</si>
  <si>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</si>
  <si>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</si>
  <si>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</si>
  <si>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</si>
  <si>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</si>
  <si>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</si>
  <si>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</si>
  <si>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</si>
  <si>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</si>
  <si>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</si>
  <si>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</si>
  <si>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</si>
  <si>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</si>
  <si>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</si>
  <si>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</si>
  <si>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</si>
  <si>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</si>
  <si>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</si>
  <si>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</si>
  <si>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</si>
  <si>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</si>
  <si>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</si>
  <si>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</si>
  <si>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</si>
  <si>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</si>
  <si>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</si>
  <si>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</si>
  <si>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</si>
  <si>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</si>
  <si>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</si>
  <si>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</si>
  <si>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</si>
  <si>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</si>
  <si>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</si>
  <si>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</si>
  <si>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</si>
  <si>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</si>
  <si>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</si>
  <si>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</si>
  <si>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</si>
  <si>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</si>
  <si>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</si>
  <si>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</si>
  <si>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</si>
  <si>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</si>
  <si>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</si>
  <si>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</si>
  <si>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</si>
  <si>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</si>
  <si>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</si>
  <si>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</si>
  <si>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</si>
  <si>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</si>
  <si>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</si>
  <si>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</si>
  <si>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</si>
  <si>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</si>
  <si>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</si>
  <si>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</si>
  <si>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</si>
  <si>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</si>
  <si>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</si>
  <si>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</si>
  <si>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</si>
  <si>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</si>
  <si>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</si>
  <si>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</si>
  <si>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</si>
  <si>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</si>
  <si>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</si>
  <si>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</si>
  <si>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</si>
  <si>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</si>
  <si>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</si>
  <si>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</si>
  <si>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</si>
  <si>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</si>
  <si>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</si>
  <si>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</si>
  <si>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</si>
  <si>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</si>
  <si>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</si>
  <si>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</si>
  <si>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</si>
  <si>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</si>
  <si>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</si>
  <si>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</si>
  <si>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</si>
  <si>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</si>
  <si>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</si>
  <si>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</si>
  <si>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</si>
  <si>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</si>
  <si>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</si>
  <si>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</si>
  <si>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</si>
  <si>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</si>
  <si>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</si>
  <si>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</si>
  <si>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</si>
  <si>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</si>
  <si>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</si>
  <si>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</si>
  <si>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</si>
  <si>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</si>
  <si>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</si>
  <si>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</si>
  <si>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</si>
  <si>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</si>
  <si>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</si>
  <si>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</si>
  <si>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</si>
  <si>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</si>
  <si>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</si>
  <si>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</si>
  <si>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</si>
  <si>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</si>
  <si>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</si>
  <si>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</si>
  <si>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</si>
  <si>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</si>
  <si>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</si>
  <si>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</si>
  <si>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</si>
  <si>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</si>
  <si>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</si>
  <si>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</si>
  <si>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</si>
  <si>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</si>
  <si>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</si>
  <si>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</si>
  <si>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</si>
  <si>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</si>
  <si>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</si>
  <si>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</si>
  <si>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</si>
  <si>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</si>
  <si>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</si>
  <si>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</si>
  <si>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</si>
  <si>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</si>
  <si>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</si>
  <si>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</si>
  <si>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</si>
  <si>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</si>
  <si>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</si>
  <si>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</si>
  <si>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</si>
  <si>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</si>
  <si>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</si>
  <si>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</si>
  <si>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</si>
  <si>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</si>
  <si>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</si>
  <si>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</si>
  <si>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</si>
  <si>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</si>
  <si>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</si>
  <si>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</si>
  <si>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</si>
  <si>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</si>
  <si>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</si>
  <si>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</si>
  <si>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</si>
  <si>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</si>
  <si>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</si>
  <si>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</si>
  <si>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</si>
  <si>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</si>
  <si>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</si>
  <si>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</si>
  <si>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</si>
  <si>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</si>
  <si>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</si>
  <si>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</si>
  <si>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</si>
  <si>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</si>
  <si>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</si>
  <si>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</si>
  <si>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</si>
  <si>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</si>
  <si>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</si>
  <si>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</si>
  <si>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</si>
  <si>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</si>
  <si>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</si>
  <si>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</si>
  <si>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</si>
  <si>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</si>
  <si>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</si>
  <si>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</si>
  <si>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</si>
  <si>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</si>
  <si>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</si>
  <si>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</si>
  <si>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</si>
  <si>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</si>
  <si>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</si>
  <si>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</si>
  <si>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</si>
  <si>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</si>
  <si>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</si>
  <si>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</si>
  <si>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</si>
  <si>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</si>
  <si>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</si>
  <si>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</si>
  <si>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</si>
  <si>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</si>
  <si>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</si>
  <si>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</si>
  <si>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</si>
  <si>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</si>
  <si>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</si>
  <si>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</si>
  <si>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</si>
  <si>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</si>
  <si>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</si>
  <si>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</si>
  <si>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</si>
  <si>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</si>
  <si>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</si>
  <si>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</si>
  <si>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</si>
  <si>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</si>
  <si>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</si>
  <si>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</si>
  <si>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</si>
  <si>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</si>
  <si>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</si>
  <si>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</si>
  <si>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</si>
  <si>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</si>
  <si>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</si>
  <si>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</si>
  <si>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</si>
  <si>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</si>
  <si>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</si>
  <si>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</si>
  <si>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</si>
  <si>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</si>
  <si>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</si>
  <si>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</si>
  <si>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</si>
  <si>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</si>
  <si>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</si>
  <si>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</si>
  <si>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</si>
  <si>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</si>
  <si>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</si>
  <si>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</si>
  <si>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</si>
  <si>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</si>
  <si>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</si>
  <si>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</si>
  <si>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</si>
  <si>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</si>
  <si>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</si>
  <si>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</si>
  <si>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</si>
  <si>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</si>
  <si>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</si>
  <si>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</si>
  <si>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</si>
  <si>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</si>
  <si>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</si>
  <si>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</si>
  <si>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</si>
  <si>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</si>
  <si>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</si>
  <si>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</si>
  <si>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</si>
  <si>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</si>
  <si>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</si>
  <si>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</si>
  <si>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</si>
  <si>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</si>
  <si>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</si>
  <si>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</si>
  <si>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</si>
  <si>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</si>
  <si>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</si>
  <si>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</si>
  <si>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</si>
  <si>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</si>
  <si>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</si>
  <si>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</si>
  <si>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</si>
  <si>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</si>
  <si>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</si>
  <si>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</si>
  <si>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</si>
  <si>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</si>
  <si>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</si>
  <si>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</si>
  <si>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</si>
  <si>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</si>
  <si>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</si>
  <si>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</si>
  <si>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</si>
  <si>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</si>
  <si>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</si>
  <si>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</si>
  <si>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</si>
  <si>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</si>
  <si>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</si>
  <si>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</si>
  <si>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</si>
  <si>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</si>
  <si>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</si>
  <si>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</si>
  <si>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</si>
  <si>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</si>
  <si>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</si>
  <si>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</si>
  <si>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</si>
  <si>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</si>
  <si>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</si>
  <si>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</si>
  <si>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</si>
  <si>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</si>
  <si>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</si>
  <si>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</si>
  <si>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</si>
  <si>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</si>
  <si>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</si>
  <si>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</si>
  <si>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</si>
  <si>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</si>
  <si>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</si>
  <si>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</si>
  <si>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</si>
  <si>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</si>
  <si>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</si>
  <si>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</si>
  <si>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</si>
  <si>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</si>
  <si>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</si>
  <si>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</si>
  <si>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</si>
  <si>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</si>
  <si>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</si>
  <si>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</si>
  <si>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</si>
  <si>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</si>
  <si>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</si>
  <si>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</si>
  <si>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</si>
  <si>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</si>
  <si>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</si>
  <si>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</si>
  <si>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</si>
  <si>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</si>
  <si>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</si>
  <si>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</si>
  <si>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</si>
  <si>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</si>
  <si>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</si>
  <si>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</si>
  <si>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</si>
  <si>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</si>
  <si>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</si>
  <si>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</si>
  <si>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</si>
  <si>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</si>
  <si>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</si>
  <si>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</si>
  <si>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</si>
  <si>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</si>
  <si>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</si>
  <si>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</si>
  <si>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</si>
  <si>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</si>
  <si>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</si>
  <si>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</si>
  <si>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</si>
  <si>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</si>
  <si>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</si>
  <si>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</si>
  <si>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</si>
  <si>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</si>
  <si>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</si>
  <si>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</si>
  <si>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</si>
  <si>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</si>
  <si>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</si>
  <si>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</si>
  <si>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</si>
  <si>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</si>
  <si>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</si>
  <si>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</si>
  <si>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</si>
  <si>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</si>
  <si>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</si>
  <si>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</si>
  <si>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</si>
  <si>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</si>
  <si>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</si>
  <si>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</si>
  <si>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</si>
  <si>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</si>
  <si>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</si>
  <si>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</si>
  <si>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</si>
  <si>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</si>
  <si>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</si>
  <si>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</si>
  <si>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</si>
  <si>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</si>
  <si>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</si>
  <si>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</si>
  <si>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</si>
  <si>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</si>
  <si>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</si>
  <si>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</si>
  <si>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</si>
  <si>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</si>
  <si>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</si>
  <si>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</si>
  <si>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</si>
  <si>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</si>
  <si>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</si>
  <si>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</si>
  <si>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</si>
  <si>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</si>
  <si>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</si>
  <si>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</si>
  <si>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</si>
  <si>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</si>
  <si>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</si>
  <si>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</si>
  <si>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</si>
  <si>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</si>
  <si>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</si>
  <si>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</si>
  <si>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</si>
  <si>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</si>
  <si>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</si>
  <si>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</si>
  <si>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</si>
  <si>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</si>
  <si>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</si>
  <si>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</si>
  <si>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</si>
  <si>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</si>
  <si>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</si>
  <si>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</si>
  <si>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</si>
  <si>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</si>
  <si>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</si>
  <si>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</si>
  <si>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</si>
  <si>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</si>
  <si>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</si>
  <si>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</si>
  <si>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</si>
  <si>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</si>
  <si>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</si>
  <si>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</si>
  <si>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</si>
  <si>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</si>
  <si>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</si>
  <si>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</si>
  <si>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</si>
  <si>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</si>
  <si>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</si>
  <si>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</si>
  <si>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</si>
  <si>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</si>
  <si>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</si>
  <si>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</si>
  <si>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</si>
  <si>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</si>
  <si>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</si>
  <si>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</si>
  <si>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</si>
  <si>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</si>
  <si>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</si>
  <si>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</si>
  <si>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</si>
  <si>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</si>
  <si>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</si>
  <si>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</si>
  <si>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</si>
  <si>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</si>
  <si>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</si>
  <si>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</si>
  <si>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</si>
  <si>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</si>
  <si>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</si>
  <si>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</si>
  <si>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</si>
  <si>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</si>
  <si>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</si>
  <si>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</si>
  <si>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</si>
  <si>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</si>
  <si>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</si>
  <si>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</si>
  <si>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</si>
  <si>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</si>
  <si>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</si>
  <si>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</si>
  <si>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</si>
  <si>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</si>
  <si>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</si>
  <si>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</si>
  <si>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</si>
  <si>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</si>
  <si>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</si>
  <si>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</si>
  <si>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</si>
  <si>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</si>
  <si>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</si>
  <si>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</si>
  <si>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</si>
  <si>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</si>
  <si>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</si>
  <si>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</si>
  <si>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</si>
  <si>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</si>
  <si>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</si>
  <si>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</si>
  <si>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</si>
  <si>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</si>
  <si>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</si>
  <si>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</si>
  <si>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</si>
  <si>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</si>
  <si>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</si>
  <si>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</si>
  <si>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</si>
  <si>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</si>
  <si>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</si>
  <si>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</si>
  <si>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</si>
  <si>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</si>
  <si>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</si>
  <si>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</si>
  <si>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</si>
  <si>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</si>
  <si>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</si>
  <si>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</si>
  <si>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</si>
  <si>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</si>
  <si>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</si>
  <si>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</si>
  <si>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</si>
  <si>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</si>
  <si>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</si>
  <si>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</si>
  <si>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</si>
  <si>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</si>
  <si>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</si>
  <si>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</si>
  <si>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</si>
  <si>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</si>
  <si>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</si>
  <si>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</si>
  <si>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</si>
  <si>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</si>
  <si>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</si>
  <si>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</si>
  <si>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</si>
  <si>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</si>
  <si>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</si>
  <si>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</si>
  <si>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</si>
  <si>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</si>
  <si>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</si>
  <si>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</si>
  <si>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</si>
  <si>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</si>
  <si>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</si>
  <si>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</si>
  <si>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</si>
  <si>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</si>
  <si>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</si>
  <si>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</si>
  <si>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</si>
  <si>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</si>
  <si>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</si>
  <si>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</si>
  <si>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</si>
  <si>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</si>
  <si>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</si>
  <si>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</si>
  <si>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</si>
  <si>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</si>
  <si>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</si>
  <si>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</si>
  <si>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</si>
  <si>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</si>
  <si>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</si>
  <si>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</si>
  <si>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</si>
  <si>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</si>
  <si>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</si>
  <si>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</si>
  <si>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</si>
  <si>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</si>
  <si>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</si>
  <si>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</si>
  <si>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</si>
  <si>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</si>
  <si>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</si>
  <si>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</si>
  <si>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</si>
  <si>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</si>
  <si>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</si>
  <si>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</si>
  <si>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</si>
  <si>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</si>
  <si>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</si>
  <si>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</si>
  <si>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</si>
  <si>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</si>
  <si>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</si>
  <si>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</si>
  <si>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</si>
  <si>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</si>
  <si>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</si>
  <si>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</si>
  <si>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</si>
  <si>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</si>
  <si>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</si>
  <si>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</si>
  <si>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</si>
  <si>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</si>
  <si>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</si>
  <si>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</si>
  <si>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</si>
  <si>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</si>
  <si>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</si>
  <si>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</si>
  <si>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</si>
  <si>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</si>
  <si>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</si>
  <si>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</si>
  <si>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</si>
  <si>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</si>
  <si>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</si>
  <si>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</si>
  <si>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</si>
  <si>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</si>
  <si>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</si>
  <si>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</si>
  <si>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</si>
  <si>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</si>
  <si>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</si>
  <si>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</si>
  <si>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</si>
  <si>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</si>
  <si>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</si>
  <si>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</si>
  <si>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</si>
  <si>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</si>
  <si>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</si>
  <si>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</si>
  <si>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</si>
  <si>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</si>
  <si>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</si>
  <si>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</si>
  <si>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</si>
  <si>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</si>
  <si>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</si>
  <si>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</si>
  <si>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</si>
  <si>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</si>
  <si>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</si>
  <si>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</si>
  <si>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</si>
  <si>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</si>
  <si>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</si>
  <si>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</si>
  <si>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</si>
  <si>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</si>
  <si>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</si>
  <si>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</si>
  <si>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</si>
  <si>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</si>
  <si>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</si>
  <si>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</si>
  <si>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</si>
  <si>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</si>
  <si>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</si>
  <si>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</si>
  <si>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</si>
  <si>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</si>
  <si>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</si>
  <si>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</si>
  <si>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</si>
  <si>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</si>
  <si>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</si>
  <si>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</si>
  <si>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</si>
  <si>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</si>
  <si>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</si>
  <si>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</si>
  <si>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</si>
  <si>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</si>
  <si>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</si>
  <si>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</si>
  <si>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</si>
  <si>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</si>
  <si>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</si>
  <si>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</si>
  <si>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</si>
  <si>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</si>
  <si>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</si>
  <si>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</si>
  <si>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</si>
  <si>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</si>
  <si>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</si>
  <si>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</si>
  <si>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</si>
  <si>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</si>
  <si>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</si>
  <si>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</si>
  <si>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</si>
  <si>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</si>
  <si>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</si>
  <si>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</si>
  <si>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</si>
  <si>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</si>
  <si>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</si>
  <si>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</si>
  <si>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</si>
  <si>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</si>
  <si>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</si>
  <si>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</si>
  <si>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</si>
  <si>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</si>
  <si>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</si>
  <si>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</si>
  <si>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</si>
  <si>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</si>
  <si>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</si>
  <si>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</si>
  <si>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</si>
  <si>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</si>
  <si>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</si>
  <si>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</si>
  <si>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</si>
  <si>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</si>
  <si>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</si>
  <si>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</si>
  <si>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</si>
  <si>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</si>
  <si>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</si>
  <si>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</si>
  <si>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</si>
  <si>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</si>
  <si>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</si>
  <si>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</si>
  <si>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</si>
  <si>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</si>
  <si>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</si>
  <si>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</si>
  <si>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</si>
  <si>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</si>
  <si>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</si>
  <si>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</si>
  <si>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</si>
  <si>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</si>
  <si>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</si>
  <si>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</si>
  <si>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</si>
  <si>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</si>
  <si>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</si>
  <si>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</si>
  <si>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</si>
  <si>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</si>
  <si>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</si>
  <si>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</si>
  <si>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</si>
  <si>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</si>
  <si>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</si>
  <si>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</si>
  <si>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</si>
  <si>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</si>
  <si>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</si>
  <si>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</si>
  <si>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</si>
  <si>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</si>
  <si>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</si>
  <si>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</si>
  <si>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</si>
  <si>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</si>
  <si>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</si>
  <si>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</si>
  <si>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</si>
  <si>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</si>
  <si>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</si>
  <si>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</si>
  <si>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</si>
  <si>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</si>
  <si>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</si>
  <si>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</si>
  <si>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</si>
  <si>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</si>
  <si>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</si>
  <si>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</si>
  <si>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</si>
  <si>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</si>
  <si>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</si>
  <si>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</si>
  <si>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</si>
  <si>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</si>
  <si>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</si>
  <si>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</si>
  <si>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</si>
  <si>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</si>
  <si>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</si>
  <si>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</si>
  <si>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</si>
  <si>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</si>
  <si>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</si>
  <si>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</si>
  <si>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</si>
  <si>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</si>
  <si>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</si>
  <si>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</si>
  <si>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</si>
  <si>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</si>
  <si>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</si>
  <si>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</si>
  <si>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</si>
  <si>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</si>
  <si>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</si>
  <si>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</si>
  <si>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</si>
  <si>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</si>
  <si>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</si>
  <si>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</si>
  <si>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</si>
  <si>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</si>
  <si>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</si>
  <si>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</si>
  <si>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</si>
  <si>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</si>
  <si>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</si>
  <si>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</si>
  <si>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</si>
  <si>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</si>
  <si>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</si>
  <si>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</si>
  <si>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</si>
  <si>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</si>
  <si>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</si>
  <si>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</si>
  <si>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</si>
  <si>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</si>
  <si>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</si>
  <si>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</si>
  <si>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</si>
  <si>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</si>
  <si>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</si>
  <si>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</si>
  <si>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</si>
  <si>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</si>
  <si>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</si>
  <si>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</si>
  <si>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</si>
  <si>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</si>
  <si>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</si>
  <si>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</si>
  <si>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</si>
  <si>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</si>
  <si>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</si>
  <si>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</si>
  <si>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</si>
  <si>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</si>
  <si>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</si>
  <si>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</si>
  <si>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</si>
  <si>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</si>
  <si>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</si>
  <si>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</si>
  <si>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</si>
  <si>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</si>
  <si>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</si>
  <si>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</si>
  <si>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</si>
  <si>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</si>
  <si>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</si>
  <si>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</si>
  <si>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</si>
  <si>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</si>
  <si>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</si>
  <si>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</si>
  <si>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</si>
  <si>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</si>
  <si>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</si>
  <si>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</si>
  <si>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</si>
  <si>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</si>
  <si>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</si>
  <si>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</si>
  <si>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</si>
  <si>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</si>
  <si>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</si>
  <si>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</si>
  <si>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</si>
  <si>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</si>
  <si>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</si>
  <si>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</si>
  <si>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</si>
  <si>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</si>
  <si>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</si>
  <si>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</si>
  <si>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</si>
  <si>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</si>
  <si>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</si>
  <si>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</si>
  <si>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</si>
  <si>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</si>
  <si>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</si>
  <si>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</si>
  <si>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</si>
  <si>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</si>
  <si>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</si>
  <si>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</si>
  <si>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</si>
  <si>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</si>
  <si>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</si>
  <si>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</si>
  <si>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</si>
  <si>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</si>
  <si>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</si>
  <si>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</si>
  <si>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</si>
  <si>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</si>
  <si>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</si>
  <si>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</si>
  <si>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</si>
  <si>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</si>
  <si>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</si>
  <si>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</si>
  <si>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</si>
  <si>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</si>
  <si>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</si>
  <si>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</si>
  <si>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</si>
  <si>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</si>
  <si>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</si>
  <si>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</si>
  <si>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</si>
  <si>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</si>
  <si>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</si>
  <si>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</si>
  <si>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</si>
  <si>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</si>
  <si>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</si>
  <si>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</si>
  <si>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</si>
  <si>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</si>
  <si>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</si>
  <si>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</si>
  <si>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</si>
  <si>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</si>
  <si>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</si>
  <si>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</si>
  <si>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</si>
  <si>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</si>
  <si>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</si>
  <si>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</si>
  <si>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</si>
  <si>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</si>
  <si>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</si>
  <si>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</si>
  <si>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</si>
  <si>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</si>
  <si>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</si>
  <si>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</si>
  <si>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</si>
  <si>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</si>
  <si>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</si>
  <si>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</si>
  <si>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</si>
  <si>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</si>
  <si>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</si>
  <si>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</si>
  <si>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</si>
  <si>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</si>
  <si>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</si>
  <si>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</si>
  <si>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</si>
  <si>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</si>
  <si>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</si>
  <si>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</si>
  <si>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</si>
  <si>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</si>
  <si>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</si>
  <si>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</si>
  <si>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</si>
  <si>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</si>
  <si>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</si>
  <si>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</si>
  <si>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</si>
  <si>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</si>
  <si>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</si>
  <si>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</si>
  <si>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</si>
  <si>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</si>
  <si>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</si>
  <si>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</si>
  <si>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</si>
  <si>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</si>
  <si>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</si>
  <si>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</si>
  <si>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</si>
  <si>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</si>
  <si>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</si>
  <si>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</si>
  <si>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</si>
  <si>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</si>
  <si>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</si>
  <si>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</si>
  <si>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</si>
  <si>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</si>
  <si>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</si>
  <si>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</si>
  <si>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</si>
  <si>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</si>
  <si>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</si>
  <si>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</si>
  <si>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</si>
  <si>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</si>
  <si>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</si>
  <si>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</si>
  <si>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</si>
  <si>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</si>
  <si>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</si>
  <si>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</si>
  <si>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</si>
  <si>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</si>
  <si>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</si>
  <si>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</si>
  <si>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</si>
  <si>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</si>
  <si>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</si>
  <si>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</si>
  <si>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</si>
  <si>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</si>
  <si>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</si>
  <si>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</si>
  <si>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</si>
  <si>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</si>
  <si>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</si>
  <si>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</si>
  <si>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</si>
  <si>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</si>
  <si>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</si>
  <si>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</si>
  <si>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</si>
  <si>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</si>
  <si>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</si>
  <si>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</si>
  <si>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</si>
  <si>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</si>
  <si>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</si>
  <si>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</si>
  <si>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</si>
  <si>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</si>
  <si>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</si>
  <si>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</si>
  <si>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</si>
  <si>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</si>
  <si>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</si>
  <si>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</si>
  <si>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</si>
  <si>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</si>
  <si>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</si>
  <si>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</si>
  <si>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</si>
  <si>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</si>
  <si>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</si>
  <si>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</si>
  <si>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</si>
  <si>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</si>
  <si>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</si>
  <si>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</si>
  <si>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</si>
  <si>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</si>
  <si>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</si>
  <si>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</si>
  <si>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</si>
  <si>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</si>
  <si>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</si>
  <si>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</si>
  <si>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</si>
  <si>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</si>
  <si>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</si>
  <si>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</si>
  <si>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</si>
  <si>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</si>
  <si>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</si>
  <si>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</si>
  <si>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</si>
  <si>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</si>
  <si>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</si>
  <si>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</si>
  <si>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</si>
  <si>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</si>
  <si>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</si>
  <si>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</si>
  <si>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</si>
  <si>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</si>
  <si>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</si>
  <si>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</si>
  <si>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</si>
  <si>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</si>
  <si>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</si>
  <si>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</si>
  <si>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</si>
  <si>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</si>
  <si>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</si>
  <si>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</si>
  <si>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</si>
  <si>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</si>
  <si>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</si>
  <si>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</si>
  <si>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</si>
  <si>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</si>
  <si>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</si>
  <si>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</si>
  <si>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</si>
  <si>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</si>
  <si>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</si>
  <si>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</si>
  <si>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</si>
  <si>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</si>
  <si>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</si>
  <si>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</si>
  <si>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</si>
  <si>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</si>
  <si>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</si>
  <si>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</si>
  <si>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</si>
  <si>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</si>
  <si>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</si>
  <si>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</si>
  <si>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</si>
  <si>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</si>
  <si>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</si>
  <si>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</si>
  <si>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</si>
  <si>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</si>
  <si>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</si>
  <si>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</si>
  <si>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</si>
  <si>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</si>
  <si>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</si>
  <si>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</si>
  <si>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</si>
  <si>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</si>
  <si>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</si>
  <si>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</si>
  <si>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</si>
  <si>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</si>
  <si>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</si>
  <si>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</si>
  <si>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</si>
  <si>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</si>
  <si>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</si>
  <si>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</si>
  <si>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</si>
  <si>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</si>
  <si>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</si>
  <si>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</si>
  <si>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</si>
  <si>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</si>
  <si>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</si>
  <si>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</si>
  <si>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</si>
  <si>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</si>
  <si>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</si>
  <si>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</si>
  <si>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</si>
  <si>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</si>
  <si>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</si>
  <si>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</si>
  <si>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</si>
  <si>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</si>
  <si>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</si>
  <si>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</si>
  <si>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</si>
  <si>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</si>
  <si>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</si>
  <si>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</si>
  <si>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</si>
  <si>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</si>
  <si>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</si>
  <si>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</si>
  <si>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</si>
  <si>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</si>
  <si>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</si>
  <si>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</si>
  <si>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</si>
  <si>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</si>
  <si>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</si>
  <si>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</si>
  <si>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</si>
  <si>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</si>
  <si>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</si>
  <si>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</si>
  <si>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</si>
  <si>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</si>
  <si>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</si>
  <si>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</si>
  <si>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</si>
  <si>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</si>
  <si>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</si>
  <si>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</si>
  <si>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</si>
  <si>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</si>
  <si>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</si>
  <si>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</si>
  <si>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</si>
  <si>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</si>
  <si>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</si>
  <si>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</si>
  <si>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</si>
  <si>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</si>
  <si>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</si>
  <si>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</si>
  <si>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</si>
  <si>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</si>
  <si>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</si>
  <si>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</si>
  <si>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</si>
  <si>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</si>
  <si>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</si>
  <si>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</si>
  <si>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</si>
  <si>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</si>
  <si>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</si>
  <si>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</si>
  <si>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</si>
  <si>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</si>
  <si>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</si>
  <si>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</si>
  <si>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</si>
  <si>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</si>
  <si>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</si>
  <si>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</si>
  <si>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</si>
  <si>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</si>
  <si>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</si>
  <si>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</si>
  <si>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</si>
  <si>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</si>
  <si>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</si>
  <si>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</si>
  <si>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</si>
  <si>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</si>
  <si>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</si>
  <si>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</si>
  <si>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</si>
  <si>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</si>
  <si>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</si>
  <si>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</si>
  <si>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</si>
  <si>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</si>
  <si>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</si>
  <si>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</si>
  <si>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</si>
  <si>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</si>
  <si>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</si>
  <si>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</si>
  <si>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</si>
  <si>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</si>
  <si>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</si>
  <si>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</si>
  <si>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</si>
  <si>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</si>
  <si>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</si>
  <si>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</si>
  <si>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</si>
  <si>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</si>
  <si>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</si>
  <si>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</si>
  <si>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</si>
  <si>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</si>
  <si>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</si>
  <si>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</si>
  <si>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</si>
  <si>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</si>
  <si>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</si>
  <si>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</si>
  <si>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</si>
  <si>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</si>
  <si>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</si>
  <si>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</si>
  <si>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</si>
  <si>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</si>
  <si>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</si>
  <si>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</si>
  <si>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</si>
  <si>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</si>
  <si>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</si>
  <si>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</si>
  <si>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</si>
  <si>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</si>
  <si>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</si>
  <si>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</si>
  <si>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</si>
  <si>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</si>
  <si>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</si>
  <si>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</si>
  <si>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</si>
  <si>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</si>
  <si>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</si>
  <si>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</si>
  <si>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</si>
  <si>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</si>
  <si>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</si>
  <si>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</si>
  <si>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</si>
  <si>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</si>
  <si>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</si>
  <si>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</si>
  <si>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</si>
  <si>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</si>
  <si>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</si>
  <si>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</si>
  <si>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</si>
  <si>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</si>
  <si>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</si>
  <si>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</si>
  <si>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</si>
  <si>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</si>
  <si>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</si>
  <si>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</si>
  <si>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</si>
  <si>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</si>
  <si>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</si>
  <si>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</si>
  <si>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</si>
  <si>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</si>
  <si>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</si>
  <si>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</si>
  <si>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</si>
  <si>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</si>
  <si>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</si>
  <si>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</si>
  <si>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</si>
  <si>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</si>
  <si>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</si>
  <si>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</si>
  <si>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</si>
  <si>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</si>
  <si>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</si>
  <si>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</si>
  <si>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</si>
  <si>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</si>
  <si>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</si>
  <si>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</si>
  <si>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</si>
  <si>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</si>
  <si>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</si>
  <si>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</si>
  <si>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</si>
  <si>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</si>
  <si>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</si>
  <si>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</si>
  <si>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</si>
  <si>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</si>
  <si>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</si>
  <si>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</si>
  <si>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</si>
  <si>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</si>
  <si>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</si>
  <si>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</si>
  <si>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</si>
  <si>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</si>
  <si>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</si>
  <si>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</si>
  <si>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</si>
  <si>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</si>
  <si>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</si>
  <si>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</si>
  <si>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</si>
  <si>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</si>
  <si>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</si>
  <si>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</si>
  <si>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</si>
  <si>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</si>
  <si>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</si>
  <si>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</si>
  <si>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</si>
  <si>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</si>
  <si>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</si>
  <si>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</si>
  <si>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</si>
  <si>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</si>
  <si>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</si>
  <si>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</si>
  <si>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</si>
  <si>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</si>
  <si>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</si>
  <si>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</si>
  <si>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</si>
  <si>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</si>
  <si>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</si>
  <si>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</si>
  <si>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</si>
  <si>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</si>
  <si>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</si>
  <si>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</si>
  <si>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</si>
  <si>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</si>
  <si>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</si>
  <si>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</si>
  <si>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</si>
  <si>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</si>
  <si>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</si>
  <si>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</si>
  <si>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</si>
  <si>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</si>
  <si>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</si>
  <si>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</si>
  <si>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</si>
  <si>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</si>
  <si>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</si>
  <si>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</si>
  <si>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</si>
  <si>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</si>
  <si>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</si>
  <si>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</si>
  <si>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</si>
  <si>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</si>
  <si>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</si>
  <si>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</si>
  <si>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</si>
  <si>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</si>
  <si>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</si>
  <si>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</si>
  <si>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</si>
  <si>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</si>
  <si>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</si>
  <si>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</si>
  <si>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</si>
  <si>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</si>
  <si>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</si>
  <si>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</si>
  <si>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</si>
  <si>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</si>
  <si>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</si>
  <si>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</si>
  <si>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</si>
  <si>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</si>
  <si>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</si>
  <si>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</si>
  <si>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</si>
  <si>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</si>
  <si>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</si>
  <si>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</si>
  <si>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</si>
  <si>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</si>
  <si>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</si>
  <si>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</si>
  <si>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</si>
  <si>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</si>
  <si>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</si>
  <si>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</si>
  <si>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</si>
  <si>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</si>
  <si>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</si>
  <si>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</si>
  <si>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</si>
  <si>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</si>
  <si>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</si>
  <si>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</si>
  <si>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</si>
  <si>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</si>
  <si>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</si>
  <si>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</si>
  <si>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</si>
  <si>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</si>
  <si>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</si>
  <si>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</si>
  <si>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</si>
  <si>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</si>
  <si>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</si>
  <si>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</si>
  <si>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</si>
  <si>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</si>
  <si>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</si>
  <si>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</si>
  <si>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</si>
  <si>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</si>
  <si>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</si>
  <si>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</si>
  <si>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</si>
  <si>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</si>
  <si>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</si>
  <si>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</si>
  <si>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</si>
  <si>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</si>
  <si>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</si>
  <si>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</si>
  <si>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</si>
  <si>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</si>
  <si>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</si>
  <si>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</si>
  <si>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</si>
  <si>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</si>
  <si>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</si>
  <si>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</si>
  <si>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</si>
  <si>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</si>
  <si>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</si>
  <si>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</si>
  <si>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</si>
  <si>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</si>
  <si>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</si>
  <si>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</si>
  <si>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</si>
  <si>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</si>
  <si>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</si>
  <si>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</si>
  <si>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</si>
  <si>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</si>
  <si>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</si>
  <si>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</si>
  <si>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</si>
  <si>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</si>
  <si>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</si>
  <si>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</si>
  <si>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</si>
  <si>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</si>
  <si>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</si>
  <si>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</si>
  <si>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</si>
  <si>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</si>
  <si>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</si>
  <si>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</si>
  <si>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</si>
  <si>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</si>
  <si>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</si>
  <si>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</si>
  <si>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</si>
  <si>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</si>
  <si>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</si>
  <si>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</si>
  <si>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</si>
  <si>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</si>
  <si>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</si>
  <si>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</si>
  <si>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</si>
  <si>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</si>
  <si>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</si>
  <si>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</si>
  <si>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</si>
  <si>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</si>
  <si>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</si>
  <si>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</si>
  <si>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</si>
  <si>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</si>
  <si>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</si>
  <si>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</si>
  <si>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</si>
  <si>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</si>
  <si>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</si>
  <si>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</si>
  <si>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</si>
  <si>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</si>
  <si>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</si>
  <si>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</si>
  <si>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</si>
  <si>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</si>
  <si>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</si>
  <si>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</si>
  <si>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</si>
  <si>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</si>
  <si>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</si>
  <si>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</si>
  <si>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</si>
  <si>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</si>
  <si>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</si>
  <si>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</si>
  <si>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</si>
  <si>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</si>
  <si>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</si>
  <si>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</si>
  <si>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</si>
  <si>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</si>
  <si>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</si>
  <si>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</si>
  <si>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</si>
  <si>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</si>
  <si>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</si>
  <si>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</si>
  <si>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</si>
  <si>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</si>
  <si>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</si>
  <si>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</si>
  <si>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</si>
  <si>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</si>
  <si>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</si>
  <si>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</si>
  <si>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</si>
  <si>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</si>
  <si>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</si>
  <si>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</si>
  <si>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</si>
  <si>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</si>
  <si>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</si>
  <si>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</si>
  <si>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</si>
  <si>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</si>
  <si>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</si>
  <si>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</si>
  <si>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</si>
  <si>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</si>
  <si>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</si>
  <si>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</si>
  <si>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</si>
  <si>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</si>
  <si>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</si>
  <si>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</si>
  <si>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</si>
  <si>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</si>
  <si>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</si>
  <si>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</si>
  <si>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</si>
  <si>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</si>
  <si>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</si>
  <si>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</si>
  <si>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</si>
  <si>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</si>
  <si>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</si>
  <si>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</si>
  <si>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</si>
  <si>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</si>
  <si>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</si>
  <si>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</si>
  <si>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</si>
  <si>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</si>
  <si>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</si>
  <si>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</si>
  <si>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</si>
  <si>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</si>
  <si>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</si>
  <si>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</si>
  <si>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</si>
  <si>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</si>
  <si>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</si>
  <si>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</si>
  <si>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</si>
  <si>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</si>
  <si>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</si>
  <si>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</si>
  <si>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</si>
  <si>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</si>
  <si>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</si>
  <si>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</si>
  <si>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</si>
  <si>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</si>
  <si>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</si>
  <si>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</si>
  <si>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</si>
  <si>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</si>
  <si>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</si>
  <si>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</si>
  <si>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</si>
  <si>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</si>
  <si>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</si>
  <si>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</si>
  <si>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</si>
  <si>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</si>
  <si>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</si>
  <si>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</si>
  <si>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</si>
  <si>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</si>
  <si>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</si>
  <si>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</si>
  <si>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</si>
  <si>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</si>
  <si>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</si>
  <si>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</si>
  <si>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</si>
  <si>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</si>
  <si>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</si>
  <si>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</si>
  <si>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</si>
  <si>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</si>
  <si>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</si>
  <si>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</si>
  <si>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</si>
  <si>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</si>
  <si>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</si>
  <si>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</si>
  <si>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</si>
  <si>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</si>
  <si>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</si>
  <si>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</si>
  <si>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</si>
  <si>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</si>
  <si>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</si>
  <si>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</si>
  <si>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</si>
  <si>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</si>
  <si>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</si>
  <si>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</si>
  <si>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</si>
  <si>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</si>
  <si>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</si>
  <si>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</si>
  <si>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</si>
  <si>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</si>
  <si>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</si>
  <si>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</si>
  <si>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</si>
  <si>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</si>
  <si>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</si>
  <si>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</si>
  <si>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</si>
  <si>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</si>
  <si>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</si>
  <si>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</si>
  <si>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</si>
  <si>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</si>
  <si>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</si>
  <si>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</si>
  <si>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</si>
  <si>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</si>
  <si>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</si>
  <si>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</si>
  <si>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</si>
  <si>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</si>
  <si>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</si>
  <si>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</si>
  <si>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</si>
  <si>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</si>
  <si>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</si>
  <si>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</si>
  <si>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</si>
  <si>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</si>
  <si>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</si>
  <si>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</si>
  <si>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</si>
  <si>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</si>
  <si>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</si>
  <si>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</si>
  <si>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</si>
  <si>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</si>
  <si>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</si>
  <si>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</si>
  <si>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</si>
  <si>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</si>
  <si>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</si>
  <si>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</si>
  <si>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</si>
  <si>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</si>
  <si>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</si>
  <si>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</si>
  <si>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</si>
  <si>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</si>
  <si>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</si>
  <si>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</si>
  <si>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</si>
  <si>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</si>
  <si>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</si>
  <si>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</si>
  <si>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</si>
  <si>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</si>
  <si>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</si>
  <si>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</si>
  <si>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</si>
  <si>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</si>
  <si>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</si>
  <si>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</si>
  <si>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</si>
  <si>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</si>
  <si>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</si>
  <si>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</si>
  <si>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</si>
  <si>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</si>
  <si>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</si>
  <si>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</si>
  <si>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</si>
  <si>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</si>
  <si>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</si>
  <si>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</si>
  <si>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</si>
  <si>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</si>
  <si>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</si>
  <si>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</si>
  <si>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</si>
  <si>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</si>
  <si>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</si>
  <si>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</si>
  <si>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</si>
  <si>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</si>
  <si>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</si>
  <si>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</si>
  <si>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</si>
  <si>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</si>
  <si>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</si>
  <si>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</si>
  <si>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</si>
  <si>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</si>
  <si>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</si>
  <si>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</si>
  <si>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</si>
  <si>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</si>
  <si>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</si>
  <si>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</si>
  <si>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</si>
  <si>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</si>
  <si>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</si>
  <si>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</si>
  <si>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</si>
  <si>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</si>
  <si>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</si>
  <si>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</si>
  <si>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</si>
  <si>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</si>
  <si>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</si>
  <si>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</si>
  <si>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</si>
  <si>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</si>
  <si>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</si>
  <si>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</si>
  <si>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</si>
  <si>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</si>
  <si>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</si>
  <si>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</si>
  <si>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</si>
  <si>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</si>
  <si>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</si>
  <si>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</si>
  <si>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</si>
  <si>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</si>
  <si>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</si>
  <si>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</si>
  <si>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</si>
  <si>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</si>
  <si>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</si>
  <si>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</si>
  <si>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</si>
  <si>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</si>
  <si>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</si>
  <si>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</si>
  <si>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</si>
  <si>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</si>
  <si>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</si>
  <si>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</si>
  <si>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</si>
  <si>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</si>
  <si>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</si>
  <si>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</si>
  <si>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</si>
  <si>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</si>
  <si>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</si>
  <si>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</si>
  <si>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</si>
  <si>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</si>
  <si>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</si>
  <si>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</si>
  <si>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</si>
  <si>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</si>
  <si>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</si>
  <si>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</si>
  <si>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</si>
  <si>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</si>
  <si>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</si>
  <si>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</si>
  <si>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</si>
  <si>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</si>
  <si>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</si>
  <si>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</si>
  <si>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</si>
  <si>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</si>
  <si>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</si>
  <si>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</si>
  <si>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</si>
  <si>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</si>
  <si>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</si>
  <si>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</si>
  <si>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</si>
  <si>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</si>
  <si>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</si>
  <si>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</si>
  <si>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</si>
  <si>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</si>
  <si>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</si>
  <si>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</si>
  <si>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</si>
  <si>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</si>
  <si>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</si>
  <si>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</si>
  <si>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</si>
  <si>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</si>
  <si>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</si>
  <si>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</si>
  <si>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</si>
  <si>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</si>
  <si>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</si>
  <si>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</si>
  <si>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</si>
  <si>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</si>
  <si>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</si>
  <si>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</si>
  <si>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</si>
  <si>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</si>
  <si>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</si>
  <si>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</si>
  <si>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</si>
  <si>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</si>
  <si>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</si>
  <si>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</si>
  <si>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</si>
  <si>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</si>
  <si>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</si>
  <si>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</si>
  <si>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</si>
  <si>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</si>
  <si>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</si>
  <si>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</si>
  <si>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</si>
  <si>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</si>
  <si>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</si>
  <si>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</si>
  <si>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</si>
  <si>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</si>
  <si>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</si>
  <si>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</si>
  <si>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</si>
  <si>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</si>
  <si>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</si>
  <si>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</si>
  <si>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</si>
  <si>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</si>
  <si>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</si>
  <si>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</si>
  <si>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</si>
  <si>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</si>
  <si>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</si>
  <si>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</si>
  <si>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</si>
  <si>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</si>
  <si>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</si>
  <si>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</si>
  <si>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</si>
  <si>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</si>
  <si>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</si>
  <si>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</si>
  <si>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</si>
  <si>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</si>
  <si>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</si>
  <si>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</si>
  <si>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</si>
  <si>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</si>
  <si>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</si>
  <si>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</si>
  <si>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</si>
  <si>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</si>
  <si>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</si>
  <si>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</si>
  <si>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</si>
  <si>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</si>
  <si>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</si>
  <si>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</si>
  <si>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</si>
  <si>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</si>
  <si>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</si>
  <si>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</si>
  <si>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</si>
  <si>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</si>
  <si>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</si>
  <si>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</si>
  <si>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</si>
  <si>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</si>
  <si>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</si>
  <si>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</si>
  <si>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</si>
  <si>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</si>
  <si>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</si>
  <si>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</si>
  <si>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</si>
  <si>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</si>
  <si>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</si>
  <si>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</si>
  <si>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</si>
  <si>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</si>
  <si>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</si>
  <si>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</si>
  <si>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</si>
  <si>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</si>
  <si>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</si>
  <si>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</si>
  <si>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</si>
  <si>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</si>
  <si>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</si>
  <si>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</si>
  <si>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</si>
  <si>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</si>
  <si>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</si>
  <si>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</si>
  <si>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</si>
  <si>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</si>
  <si>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</si>
  <si>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</si>
  <si>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</si>
  <si>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</si>
  <si>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</si>
  <si>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</si>
  <si>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</si>
  <si>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</si>
  <si>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</si>
  <si>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</si>
  <si>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</si>
  <si>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</si>
  <si>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</si>
  <si>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</si>
  <si>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</si>
  <si>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</si>
  <si>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</si>
  <si>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</si>
  <si>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</si>
  <si>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</si>
  <si>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</si>
  <si>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</si>
  <si>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</si>
  <si>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</si>
  <si>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</si>
  <si>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</si>
  <si>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</si>
  <si>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</si>
  <si>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</si>
  <si>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</si>
  <si>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</si>
  <si>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</si>
  <si>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</si>
  <si>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</si>
  <si>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</si>
  <si>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</si>
  <si>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</si>
  <si>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</si>
  <si>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</si>
  <si>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</si>
  <si>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</si>
  <si>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</si>
  <si>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</si>
  <si>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</si>
  <si>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</si>
  <si>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</si>
  <si>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</si>
  <si>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</si>
  <si>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</si>
  <si>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</si>
  <si>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</si>
  <si>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</si>
  <si>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</si>
  <si>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</si>
  <si>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</si>
  <si>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</si>
  <si>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</si>
  <si>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</si>
  <si>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</si>
  <si>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</si>
  <si>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</si>
  <si>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</si>
  <si>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</si>
  <si>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</si>
  <si>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</si>
  <si>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</si>
  <si>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</si>
  <si>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</si>
  <si>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</si>
  <si>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</si>
  <si>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</si>
  <si>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</si>
  <si>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</si>
  <si>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</si>
  <si>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</si>
  <si>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</si>
  <si>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</si>
  <si>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</si>
  <si>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</si>
  <si>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</si>
  <si>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</si>
  <si>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</si>
  <si>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</si>
  <si>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</si>
  <si>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</si>
  <si>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</si>
  <si>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</si>
  <si>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</si>
  <si>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</si>
  <si>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</si>
  <si>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</si>
  <si>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</si>
  <si>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</si>
  <si>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</si>
  <si>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</si>
  <si>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</si>
  <si>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</si>
  <si>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</si>
  <si>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</si>
  <si>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</si>
  <si>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</si>
  <si>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</si>
  <si>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</si>
  <si>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</si>
  <si>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</si>
  <si>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</si>
  <si>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</si>
  <si>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</si>
  <si>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</si>
  <si>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</si>
  <si>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</si>
  <si>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</si>
  <si>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</si>
  <si>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</si>
  <si>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</si>
  <si>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</si>
  <si>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</si>
  <si>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</si>
  <si>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</si>
  <si>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</si>
  <si>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</si>
  <si>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</si>
  <si>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</si>
  <si>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</si>
  <si>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</si>
  <si>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</si>
  <si>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</si>
  <si>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</si>
  <si>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</si>
  <si>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</si>
  <si>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</si>
  <si>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</si>
  <si>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</si>
  <si>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</si>
  <si>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</si>
  <si>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</si>
  <si>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</si>
  <si>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</si>
  <si>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</si>
  <si>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</si>
  <si>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</si>
  <si>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</si>
  <si>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</si>
  <si>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</si>
  <si>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</si>
  <si>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</si>
  <si>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</si>
  <si>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</si>
  <si>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</si>
  <si>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</si>
  <si>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</si>
  <si>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</si>
  <si>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</si>
  <si>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</si>
  <si>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</si>
  <si>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</si>
  <si>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</si>
  <si>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</si>
  <si>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</si>
  <si>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</si>
  <si>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</si>
  <si>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</si>
  <si>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</si>
  <si>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</si>
  <si>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</si>
  <si>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</si>
  <si>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</si>
  <si>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</si>
  <si>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</si>
  <si>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</si>
  <si>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</si>
  <si>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</si>
  <si>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</si>
  <si>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</si>
  <si>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</si>
  <si>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</si>
  <si>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</si>
  <si>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</si>
  <si>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</si>
  <si>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</si>
  <si>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</si>
  <si>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</si>
  <si>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</si>
  <si>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</si>
  <si>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</si>
  <si>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</si>
  <si>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</si>
  <si>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</si>
  <si>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</si>
  <si>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</si>
  <si>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</si>
  <si>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</si>
  <si>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</si>
  <si>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</si>
  <si>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</si>
  <si>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</si>
  <si>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</si>
  <si>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</si>
  <si>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</si>
  <si>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</si>
  <si>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</si>
  <si>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</si>
  <si>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</si>
  <si>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</si>
  <si>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</si>
  <si>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</si>
  <si>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</si>
  <si>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</si>
  <si>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</si>
  <si>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</si>
  <si>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</si>
  <si>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</si>
  <si>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</si>
  <si>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</si>
  <si>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</si>
  <si>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</si>
  <si>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</si>
  <si>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</si>
  <si>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</si>
  <si>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</si>
  <si>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</si>
  <si>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</si>
  <si>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</si>
  <si>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</si>
  <si>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</si>
  <si>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</si>
  <si>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</si>
  <si>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</si>
  <si>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</si>
  <si>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</si>
  <si>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</si>
  <si>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</si>
  <si>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</si>
  <si>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</si>
  <si>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</si>
  <si>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</si>
  <si>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</si>
  <si>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</si>
  <si>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</si>
  <si>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</si>
  <si>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</si>
  <si>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</si>
  <si>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</si>
  <si>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</si>
  <si>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</si>
  <si>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</si>
  <si>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</si>
  <si>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</si>
  <si>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</si>
  <si>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</si>
  <si>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</si>
  <si>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</si>
  <si>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</si>
  <si>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</si>
  <si>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</si>
  <si>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</si>
  <si>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</si>
  <si>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</si>
  <si>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</si>
  <si>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</si>
  <si>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</si>
  <si>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</si>
  <si>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</si>
  <si>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</si>
  <si>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</si>
  <si>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</si>
  <si>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</si>
  <si>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</si>
  <si>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</si>
  <si>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</si>
  <si>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</si>
  <si>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</si>
  <si>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</si>
  <si>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</si>
  <si>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</si>
  <si>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</si>
  <si>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</si>
  <si>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</si>
  <si>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</si>
  <si>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</si>
  <si>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</si>
  <si>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</si>
  <si>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</si>
  <si>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</si>
  <si>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</si>
  <si>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</si>
  <si>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</si>
  <si>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</si>
  <si>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</si>
  <si>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</si>
  <si>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</si>
  <si>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</si>
  <si>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</si>
  <si>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</si>
  <si>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</si>
  <si>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</si>
  <si>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</si>
  <si>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</si>
  <si>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</si>
  <si>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</si>
  <si>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</si>
  <si>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</si>
  <si>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</si>
  <si>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</si>
  <si>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</si>
  <si>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</si>
  <si>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</si>
  <si>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</si>
  <si>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</si>
  <si>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</si>
  <si>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</si>
  <si>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</si>
  <si>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</si>
  <si>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</si>
  <si>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</si>
  <si>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</si>
  <si>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</si>
  <si>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</si>
  <si>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</si>
  <si>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</si>
  <si>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</si>
  <si>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</si>
  <si>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</si>
  <si>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</si>
  <si>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</si>
  <si>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</si>
  <si>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</si>
  <si>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</si>
  <si>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</si>
  <si>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</si>
  <si>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</si>
  <si>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</si>
  <si>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</si>
  <si>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</si>
  <si>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</si>
  <si>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</si>
  <si>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</si>
  <si>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</si>
  <si>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</si>
  <si>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</si>
  <si>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</si>
  <si>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</si>
  <si>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</si>
  <si>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</si>
  <si>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</si>
  <si>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</si>
  <si>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</si>
  <si>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</si>
  <si>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</si>
  <si>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</si>
  <si>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</si>
  <si>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</si>
  <si>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</si>
  <si>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</si>
  <si>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</si>
  <si>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</si>
  <si>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</si>
  <si>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</si>
  <si>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</si>
  <si>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</si>
  <si>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</si>
  <si>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</si>
  <si>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</si>
  <si>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</si>
  <si>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</si>
  <si>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</si>
  <si>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</si>
  <si>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</si>
  <si>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</si>
  <si>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</si>
  <si>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</si>
  <si>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</si>
  <si>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</si>
  <si>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</si>
  <si>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</si>
  <si>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</si>
  <si>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</si>
  <si>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</si>
  <si>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</si>
  <si>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</si>
  <si>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</si>
  <si>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</si>
  <si>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</si>
  <si>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</si>
  <si>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</si>
  <si>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</si>
  <si>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</si>
  <si>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</si>
  <si>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</si>
  <si>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</si>
  <si>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</si>
  <si>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</si>
  <si>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</si>
  <si>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</si>
  <si>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</si>
  <si>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</si>
  <si>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</si>
  <si>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</si>
  <si>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</si>
  <si>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</si>
  <si>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</si>
  <si>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</si>
  <si>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</si>
  <si>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</si>
  <si>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</si>
  <si>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</si>
  <si>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</si>
  <si>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</si>
  <si>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</si>
  <si>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</si>
  <si>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</si>
  <si>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</si>
  <si>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</si>
  <si>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</si>
  <si>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</si>
  <si>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</si>
  <si>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</si>
  <si>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</si>
  <si>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</si>
  <si>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</si>
  <si>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</si>
  <si>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</si>
  <si>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</si>
  <si>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</si>
  <si>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</si>
  <si>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</si>
  <si>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</si>
  <si>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</si>
  <si>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</si>
  <si>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</si>
  <si>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</si>
  <si>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</si>
  <si>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</si>
  <si>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</si>
  <si>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</si>
  <si>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</si>
  <si>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</si>
  <si>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</si>
  <si>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</si>
  <si>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</si>
  <si>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</si>
  <si>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</si>
  <si>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</si>
  <si>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</si>
  <si>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</si>
  <si>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</si>
  <si>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</si>
  <si>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</si>
  <si>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</si>
  <si>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</si>
  <si>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</si>
  <si>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</si>
  <si>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</si>
  <si>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</si>
  <si>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</si>
  <si>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</si>
  <si>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</si>
  <si>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</si>
  <si>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</si>
  <si>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</si>
  <si>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</si>
  <si>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</si>
  <si>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</si>
  <si>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</si>
  <si>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</si>
  <si>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</si>
  <si>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</si>
  <si>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</si>
  <si>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</si>
  <si>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</si>
  <si>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</si>
  <si>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</si>
  <si>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</si>
  <si>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</si>
  <si>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</si>
  <si>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</si>
  <si>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</si>
  <si>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</si>
  <si>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</si>
  <si>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</si>
  <si>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</si>
  <si>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</si>
  <si>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</si>
  <si>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</si>
  <si>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</si>
  <si>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</si>
  <si>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</si>
  <si>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</si>
  <si>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</si>
  <si>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</si>
  <si>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</si>
  <si>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</si>
  <si>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</si>
  <si>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</si>
  <si>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</si>
  <si>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</si>
  <si>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</si>
  <si>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</si>
  <si>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</si>
  <si>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</si>
  <si>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</si>
  <si>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</si>
  <si>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</si>
  <si>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</si>
  <si>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</si>
  <si>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</si>
  <si>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</si>
  <si>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</si>
  <si>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</si>
  <si>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</si>
  <si>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</si>
  <si>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</si>
  <si>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</si>
  <si>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</si>
  <si>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</si>
  <si>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</si>
  <si>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</si>
  <si>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</si>
  <si>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</si>
  <si>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</si>
  <si>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</si>
  <si>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</si>
  <si>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</si>
  <si>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</si>
  <si>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</si>
  <si>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</si>
  <si>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</si>
  <si>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</si>
  <si>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</si>
  <si>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</si>
  <si>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</si>
  <si>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</si>
  <si>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</si>
  <si>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</si>
  <si>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</si>
  <si>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</si>
  <si>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</si>
  <si>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</si>
  <si>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</si>
  <si>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</si>
  <si>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</si>
  <si>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</si>
  <si>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</si>
  <si>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</si>
  <si>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</si>
  <si>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</si>
  <si>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</si>
  <si>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</si>
  <si>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</si>
  <si>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</si>
  <si>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</si>
  <si>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</si>
  <si>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</si>
  <si>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</si>
  <si>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</si>
  <si>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</si>
  <si>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</si>
  <si>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</si>
  <si>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</si>
  <si>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</si>
  <si>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</si>
  <si>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</si>
  <si>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</si>
  <si>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</si>
  <si>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</si>
  <si>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</si>
  <si>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</si>
  <si>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</si>
  <si>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</si>
  <si>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</si>
  <si>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</si>
  <si>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</si>
  <si>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</si>
  <si>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</si>
  <si>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</si>
  <si>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</si>
  <si>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</si>
  <si>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</si>
  <si>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</si>
  <si>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</si>
  <si>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</si>
  <si>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</si>
  <si>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</si>
  <si>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</si>
  <si>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</si>
  <si>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</si>
  <si>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</si>
  <si>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</si>
  <si>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</si>
  <si>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</si>
  <si>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</si>
  <si>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</si>
  <si>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</si>
  <si>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</si>
  <si>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</si>
  <si>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</si>
  <si>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</si>
  <si>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</si>
  <si>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</si>
  <si>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</si>
  <si>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</si>
  <si>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</si>
  <si>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</si>
  <si>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</si>
  <si>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</si>
  <si>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</si>
  <si>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</si>
  <si>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</si>
  <si>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</si>
  <si>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</si>
  <si>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</si>
  <si>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</si>
  <si>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</si>
  <si>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</si>
  <si>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</si>
  <si>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</si>
  <si>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</si>
  <si>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</si>
  <si>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</si>
  <si>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</si>
  <si>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</si>
  <si>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</si>
  <si>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</si>
  <si>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</si>
  <si>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</si>
  <si>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</si>
  <si>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</si>
  <si>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</si>
  <si>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</si>
  <si>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</si>
  <si>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</si>
  <si>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</si>
  <si>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</si>
  <si>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</si>
  <si>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</si>
  <si>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</si>
  <si>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</si>
  <si>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</si>
  <si>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</si>
  <si>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</si>
  <si>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</si>
  <si>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</si>
  <si>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</si>
  <si>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</si>
  <si>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</si>
  <si>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</si>
  <si>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</si>
  <si>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</si>
  <si>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</si>
  <si>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</si>
  <si>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</si>
  <si>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</si>
  <si>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</si>
  <si>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</si>
  <si>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</si>
  <si>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</si>
  <si>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</si>
  <si>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</si>
  <si>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</si>
  <si>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</si>
  <si>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</si>
  <si>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</si>
  <si>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</si>
  <si>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</si>
  <si>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</si>
  <si>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</si>
  <si>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</si>
  <si>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</si>
  <si>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</si>
  <si>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</si>
  <si>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</si>
  <si>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</si>
  <si>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</si>
  <si>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</si>
  <si>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</si>
  <si>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</si>
  <si>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</si>
  <si>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</si>
  <si>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</si>
  <si>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</si>
  <si>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</si>
  <si>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</si>
  <si>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</si>
  <si>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</si>
  <si>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</si>
  <si>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</si>
  <si>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</si>
  <si>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</si>
  <si>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</si>
  <si>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</si>
  <si>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</si>
  <si>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</si>
  <si>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</si>
  <si>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</si>
  <si>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</si>
  <si>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</si>
  <si>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</si>
  <si>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</si>
  <si>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</si>
  <si>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</si>
  <si>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</si>
  <si>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</si>
  <si>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</si>
  <si>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</si>
  <si>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</si>
  <si>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</si>
  <si>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</si>
  <si>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</si>
  <si>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</si>
  <si>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</si>
  <si>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</si>
  <si>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</si>
  <si>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</si>
  <si>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</si>
  <si>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</si>
  <si>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</si>
  <si>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</si>
  <si>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</si>
  <si>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</si>
  <si>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</si>
  <si>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</si>
  <si>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</si>
  <si>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</si>
  <si>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</si>
  <si>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</si>
  <si>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</si>
  <si>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</si>
  <si>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</si>
  <si>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</si>
  <si>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</si>
  <si>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</si>
  <si>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</si>
  <si>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</si>
  <si>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</si>
  <si>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</si>
  <si>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</si>
  <si>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</si>
  <si>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</si>
  <si>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</si>
  <si>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</si>
  <si>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</si>
  <si>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</si>
  <si>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</si>
  <si>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</si>
  <si>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</si>
  <si>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</si>
  <si>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</si>
  <si>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</si>
  <si>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</si>
  <si>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</si>
  <si>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</si>
  <si>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</si>
  <si>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</si>
  <si>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</si>
  <si>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</si>
  <si>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</si>
  <si>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</si>
  <si>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</si>
  <si>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</si>
  <si>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</si>
  <si>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</si>
  <si>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</si>
  <si>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</si>
  <si>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</si>
  <si>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</si>
  <si>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</si>
  <si>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</si>
  <si>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</si>
  <si>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</si>
  <si>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</si>
  <si>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</si>
  <si>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</si>
  <si>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</si>
  <si>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</si>
  <si>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</si>
  <si>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</si>
  <si>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</si>
  <si>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</si>
  <si>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</si>
  <si>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</si>
  <si>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</si>
  <si>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</si>
  <si>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</si>
  <si>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</si>
  <si>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</si>
  <si>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</si>
  <si>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</si>
  <si>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</si>
  <si>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</si>
  <si>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</si>
  <si>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</si>
  <si>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</si>
  <si>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</si>
  <si>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</si>
  <si>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</si>
  <si>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</si>
  <si>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</si>
  <si>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</si>
  <si>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</si>
  <si>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</si>
  <si>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</si>
  <si>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</si>
  <si>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</si>
  <si>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</si>
  <si>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</si>
  <si>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</si>
  <si>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</si>
  <si>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</si>
  <si>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</si>
  <si>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</si>
  <si>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</si>
  <si>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</si>
  <si>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</si>
  <si>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</si>
  <si>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</si>
  <si>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</si>
  <si>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</si>
  <si>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</si>
  <si>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</si>
  <si>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</si>
  <si>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</si>
  <si>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</si>
  <si>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</si>
  <si>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</si>
  <si>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</si>
  <si>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</si>
  <si>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</si>
  <si>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</si>
  <si>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</si>
  <si>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</si>
  <si>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</si>
  <si>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</si>
  <si>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</si>
  <si>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</si>
  <si>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</si>
  <si>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</si>
  <si>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</si>
  <si>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</si>
  <si>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</si>
  <si>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</si>
  <si>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</si>
  <si>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</si>
  <si>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</si>
  <si>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</si>
  <si>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</si>
  <si>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</si>
  <si>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</si>
  <si>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</si>
  <si>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</si>
  <si>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</si>
  <si>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</si>
  <si>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</si>
  <si>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</si>
  <si>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</si>
  <si>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</si>
  <si>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</si>
  <si>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</si>
  <si>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</si>
  <si>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</si>
  <si>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</si>
  <si>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</si>
  <si>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</si>
  <si>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</si>
  <si>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</si>
  <si>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</si>
  <si>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</si>
  <si>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</si>
  <si>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</si>
  <si>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</si>
  <si>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</si>
  <si>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</si>
  <si>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</si>
  <si>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</si>
  <si>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</si>
  <si>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</si>
  <si>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</si>
  <si>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</si>
  <si>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</si>
  <si>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</si>
  <si>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</si>
  <si>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</si>
  <si>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</si>
  <si>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</si>
  <si>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</si>
  <si>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</si>
  <si>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</si>
  <si>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</si>
  <si>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</si>
  <si>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</si>
  <si>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</si>
  <si>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</si>
  <si>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</si>
  <si>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</si>
  <si>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</si>
  <si>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</si>
  <si>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</si>
  <si>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</si>
  <si>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</si>
  <si>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</si>
  <si>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</si>
  <si>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</si>
  <si>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</si>
  <si>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</si>
  <si>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</si>
  <si>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</si>
  <si>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</si>
  <si>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</si>
  <si>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</si>
  <si>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</si>
  <si>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</si>
  <si>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</si>
  <si>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</si>
  <si>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</si>
  <si>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</si>
  <si>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</si>
  <si>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</si>
  <si>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</si>
  <si>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</si>
  <si>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</si>
  <si>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</si>
  <si>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</si>
  <si>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</si>
  <si>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</si>
  <si>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</si>
  <si>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</si>
  <si>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</si>
  <si>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</si>
  <si>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</si>
  <si>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</si>
  <si>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</si>
  <si>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</si>
  <si>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</si>
  <si>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</si>
  <si>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</si>
  <si>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</si>
  <si>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</si>
  <si>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</si>
  <si>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</si>
  <si>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</si>
  <si>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</si>
  <si>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</si>
  <si>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</si>
  <si>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</si>
  <si>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</si>
  <si>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</si>
  <si>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</si>
  <si>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</si>
  <si>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</si>
  <si>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</si>
  <si>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</si>
  <si>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</si>
  <si>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</si>
  <si>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</si>
  <si>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</si>
  <si>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</si>
  <si>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</si>
  <si>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</si>
  <si>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</si>
  <si>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</si>
  <si>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</si>
  <si>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</si>
  <si>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</si>
  <si>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</si>
  <si>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</si>
  <si>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</si>
  <si>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</si>
  <si>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</si>
  <si>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</si>
  <si>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</si>
  <si>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</si>
  <si>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</si>
  <si>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</si>
  <si>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</si>
  <si>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</si>
  <si>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</si>
  <si>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</si>
  <si>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</si>
  <si>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</si>
  <si>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</si>
  <si>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</si>
  <si>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</si>
  <si>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</si>
  <si>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</si>
  <si>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</si>
  <si>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</si>
  <si>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</si>
  <si>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</si>
  <si>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</si>
  <si>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</si>
  <si>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</si>
  <si>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</si>
  <si>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</si>
  <si>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</si>
  <si>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</si>
  <si>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</si>
  <si>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</si>
  <si>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</si>
  <si>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</si>
  <si>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</si>
  <si>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</si>
  <si>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</si>
  <si>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</si>
  <si>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</si>
  <si>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</si>
  <si>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</si>
  <si>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</si>
  <si>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</si>
  <si>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</si>
  <si>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</si>
  <si>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</si>
  <si>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</si>
  <si>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</si>
  <si>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</si>
  <si>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</si>
  <si>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</si>
  <si>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</si>
  <si>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</si>
  <si>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</si>
  <si>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</si>
  <si>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</si>
  <si>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</si>
  <si>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</si>
  <si>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</si>
  <si>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</si>
  <si>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</si>
  <si>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</si>
  <si>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</si>
  <si>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</si>
  <si>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</si>
  <si>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</si>
  <si>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</si>
  <si>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</si>
  <si>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</si>
  <si>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</si>
  <si>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</si>
  <si>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</si>
  <si>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</si>
  <si>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</si>
  <si>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</si>
  <si>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</si>
  <si>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</si>
  <si>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</si>
  <si>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</si>
  <si>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</si>
  <si>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</si>
  <si>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</si>
  <si>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</si>
  <si>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</si>
  <si>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</si>
  <si>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</si>
  <si>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</si>
  <si>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</si>
  <si>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</si>
  <si>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</si>
  <si>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</si>
  <si>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</si>
  <si>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</si>
  <si>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</si>
  <si>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</si>
  <si>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</si>
  <si>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</si>
  <si>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</si>
  <si>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</si>
  <si>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</si>
  <si>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</si>
  <si>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</si>
  <si>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</si>
  <si>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</si>
  <si>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</si>
  <si>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</si>
  <si>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</si>
  <si>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</si>
  <si>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</si>
  <si>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</si>
  <si>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</si>
  <si>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</si>
  <si>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</si>
  <si>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</si>
  <si>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</si>
  <si>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</si>
  <si>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</si>
  <si>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</si>
  <si>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</si>
  <si>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</si>
  <si>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</si>
  <si>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</si>
  <si>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</si>
  <si>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</si>
  <si>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</si>
  <si>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</si>
  <si>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</si>
  <si>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</si>
  <si>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</si>
  <si>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</si>
  <si>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</si>
  <si>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</si>
  <si>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</si>
  <si>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</si>
  <si>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</si>
  <si>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</si>
  <si>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</si>
  <si>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</si>
  <si>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</si>
  <si>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</si>
  <si>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</si>
  <si>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</si>
  <si>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</si>
  <si>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</si>
  <si>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</si>
  <si>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</si>
  <si>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</si>
  <si>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</si>
  <si>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</si>
  <si>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</si>
  <si>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</si>
  <si>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</si>
  <si>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</si>
  <si>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</si>
  <si>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</si>
  <si>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</si>
  <si>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</si>
  <si>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</si>
  <si>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</si>
  <si>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</si>
  <si>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</si>
  <si>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</si>
  <si>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</si>
  <si>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</si>
  <si>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</si>
  <si>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</si>
  <si>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</si>
  <si>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</si>
  <si>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</si>
  <si>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</si>
  <si>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</si>
  <si>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</si>
  <si>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</si>
  <si>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</si>
  <si>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</si>
  <si>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</si>
  <si>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</si>
  <si>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</si>
  <si>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</si>
  <si>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</si>
  <si>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</si>
  <si>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</si>
  <si>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</si>
  <si>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</si>
  <si>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</si>
  <si>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</si>
  <si>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</si>
  <si>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</si>
  <si>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</si>
  <si>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</si>
  <si>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</si>
  <si>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</si>
  <si>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</si>
  <si>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</si>
  <si>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</si>
  <si>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</si>
  <si>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</si>
  <si>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</si>
  <si>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</si>
  <si>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</si>
  <si>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</si>
  <si>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</si>
  <si>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</si>
  <si>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</si>
  <si>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</si>
  <si>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</si>
  <si>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</si>
  <si>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</si>
  <si>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</si>
  <si>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</si>
  <si>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</si>
  <si>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</si>
  <si>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</si>
  <si>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</si>
  <si>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</si>
  <si>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</si>
  <si>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</si>
  <si>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</si>
  <si>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</si>
  <si>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</si>
  <si>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</si>
  <si>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</si>
  <si>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</si>
  <si>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</si>
  <si>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</si>
  <si>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</si>
  <si>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</si>
  <si>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</si>
  <si>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</si>
  <si>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</si>
  <si>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</si>
  <si>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</si>
  <si>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</si>
  <si>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</si>
  <si>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</si>
  <si>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</si>
  <si>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</si>
  <si>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</si>
  <si>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</si>
  <si>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</si>
  <si>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</si>
  <si>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</si>
  <si>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</si>
  <si>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</si>
  <si>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</si>
  <si>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</si>
  <si>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</si>
  <si>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</si>
  <si>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</si>
  <si>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</si>
  <si>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</si>
  <si>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</si>
  <si>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</si>
  <si>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</si>
  <si>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</si>
  <si>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</si>
  <si>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</si>
  <si>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</si>
  <si>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</si>
  <si>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</si>
  <si>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</si>
  <si>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</si>
  <si>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</si>
  <si>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</si>
  <si>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</si>
  <si>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</si>
  <si>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</si>
  <si>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</si>
  <si>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</si>
  <si>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</si>
  <si>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</si>
  <si>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</si>
  <si>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</si>
  <si>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</si>
  <si>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</si>
  <si>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</si>
  <si>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</si>
  <si>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</si>
  <si>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</si>
  <si>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</si>
  <si>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</si>
  <si>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</si>
  <si>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</si>
  <si>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</si>
  <si>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</si>
  <si>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</si>
  <si>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</si>
  <si>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</si>
  <si>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</si>
  <si>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</si>
  <si>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</si>
  <si>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</si>
  <si>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</si>
  <si>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</si>
  <si>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</si>
  <si>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</si>
  <si>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</si>
  <si>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</si>
  <si>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</si>
  <si>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</si>
  <si>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</si>
  <si>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</si>
  <si>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</si>
  <si>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</si>
  <si>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</si>
  <si>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</si>
  <si>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</si>
  <si>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</si>
  <si>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</si>
  <si>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</si>
  <si>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</si>
  <si>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</si>
  <si>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</si>
  <si>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</si>
  <si>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</si>
  <si>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</si>
  <si>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</si>
  <si>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</si>
  <si>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</si>
  <si>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</si>
  <si>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</si>
  <si>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</si>
  <si>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</si>
  <si>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</si>
  <si>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</si>
  <si>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</si>
  <si>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</si>
  <si>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</si>
  <si>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</si>
  <si>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</si>
  <si>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</si>
  <si>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</si>
  <si>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</si>
  <si>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</si>
  <si>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</si>
  <si>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</si>
  <si>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</si>
  <si>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</si>
  <si>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</si>
  <si>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</si>
  <si>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</si>
  <si>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</si>
  <si>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</si>
  <si>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</si>
  <si>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</si>
  <si>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</si>
  <si>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</si>
  <si>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</si>
  <si>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</si>
  <si>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</si>
  <si>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</si>
  <si>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</si>
  <si>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</si>
  <si>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</si>
  <si>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</si>
  <si>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</si>
  <si>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</si>
  <si>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</si>
  <si>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</si>
  <si>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</si>
  <si>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</si>
  <si>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</si>
  <si>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</si>
  <si>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</si>
  <si>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</si>
  <si>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</si>
  <si>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</si>
  <si>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</si>
  <si>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</si>
  <si>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</si>
  <si>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</si>
  <si>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</si>
  <si>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</si>
  <si>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</si>
  <si>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</si>
  <si>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</si>
  <si>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</si>
  <si>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</si>
  <si>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</si>
  <si>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</si>
  <si>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</si>
  <si>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</si>
  <si>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</si>
  <si>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</si>
  <si>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</si>
  <si>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</si>
  <si>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</si>
  <si>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</si>
  <si>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</si>
  <si>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</si>
  <si>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</si>
  <si>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</si>
  <si>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</si>
  <si>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</si>
  <si>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</si>
  <si>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</si>
  <si>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</si>
  <si>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</si>
  <si>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</si>
  <si>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</si>
  <si>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</si>
  <si>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</si>
  <si>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</si>
  <si>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</si>
  <si>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</si>
  <si>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</si>
  <si>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</si>
  <si>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</si>
  <si>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</si>
  <si>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</si>
  <si>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</si>
  <si>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</si>
  <si>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</si>
  <si>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</si>
  <si>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</si>
  <si>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</si>
  <si>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</si>
  <si>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</si>
  <si>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</si>
  <si>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</si>
  <si>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</si>
  <si>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</si>
  <si>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</si>
  <si>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</si>
  <si>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</si>
  <si>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</si>
  <si>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</si>
  <si>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</si>
  <si>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</si>
  <si>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</si>
  <si>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</si>
  <si>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</si>
  <si>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</si>
  <si>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</si>
  <si>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</si>
  <si>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</si>
  <si>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</si>
  <si>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</si>
  <si>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</si>
  <si>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</si>
  <si>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</si>
  <si>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</si>
  <si>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</si>
  <si>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</si>
  <si>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</si>
  <si>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</si>
  <si>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</si>
  <si>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</si>
  <si>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</si>
  <si>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</si>
  <si>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</si>
  <si>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</si>
  <si>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</si>
  <si>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</si>
  <si>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</si>
  <si>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</si>
  <si>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</si>
  <si>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</si>
  <si>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</si>
  <si>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</si>
  <si>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</si>
  <si>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</si>
  <si>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</si>
  <si>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</si>
  <si>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</si>
  <si>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</si>
  <si>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</si>
  <si>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</si>
  <si>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</si>
  <si>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</si>
  <si>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</si>
  <si>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</si>
  <si>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</si>
  <si>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</si>
  <si>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</si>
  <si>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</si>
  <si>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</si>
  <si>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</si>
  <si>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</si>
  <si>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</si>
  <si>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</si>
  <si>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</si>
  <si>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</si>
  <si>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</si>
  <si>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</si>
  <si>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</si>
  <si>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</si>
  <si>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</si>
  <si>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</si>
  <si>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</si>
  <si>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</si>
  <si>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</si>
  <si>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</si>
  <si>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</si>
  <si>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</si>
  <si>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</si>
  <si>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</si>
  <si>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</si>
  <si>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</si>
  <si>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</si>
  <si>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</si>
  <si>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</si>
  <si>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</si>
  <si>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</si>
  <si>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</si>
  <si>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</si>
  <si>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</si>
  <si>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</si>
  <si>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</si>
  <si>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</si>
  <si>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</si>
  <si>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</si>
  <si>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</si>
  <si>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</si>
  <si>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</si>
  <si>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</si>
  <si>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</si>
  <si>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</si>
  <si>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</si>
  <si>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</si>
  <si>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</si>
  <si>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</si>
  <si>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</si>
  <si>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</si>
  <si>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</si>
  <si>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</si>
  <si>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</si>
  <si>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</si>
  <si>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</si>
  <si>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</si>
  <si>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</si>
  <si>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</si>
  <si>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</si>
  <si>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</si>
  <si>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</si>
  <si>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</si>
  <si>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</si>
  <si>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</si>
  <si>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</si>
  <si>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</si>
  <si>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</si>
  <si>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</si>
  <si>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</si>
  <si>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</si>
  <si>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</si>
  <si>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</si>
  <si>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</si>
  <si>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</si>
  <si>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</si>
  <si>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</si>
  <si>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</si>
  <si>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</si>
  <si>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</si>
  <si>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</si>
  <si>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</si>
  <si>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</si>
  <si>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</si>
  <si>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</si>
  <si>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</si>
  <si>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</si>
  <si>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</si>
  <si>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</si>
  <si>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</si>
  <si>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</si>
  <si>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</si>
  <si>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</si>
  <si>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</si>
  <si>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</si>
  <si>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</si>
  <si>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</si>
  <si>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</si>
  <si>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</si>
  <si>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</si>
  <si>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</si>
  <si>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</si>
  <si>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</si>
  <si>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</si>
  <si>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</si>
  <si>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</si>
  <si>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</si>
  <si>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</si>
  <si>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</si>
  <si>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</si>
  <si>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</si>
  <si>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</si>
  <si>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</si>
  <si>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</si>
  <si>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</si>
  <si>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</si>
  <si>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</si>
  <si>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</si>
  <si>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</si>
  <si>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</si>
  <si>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</si>
  <si>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</si>
  <si>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</si>
  <si>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</si>
  <si>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</si>
  <si>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</si>
  <si>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</si>
  <si>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</si>
  <si>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</si>
  <si>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</si>
  <si>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</si>
  <si>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</si>
  <si>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</si>
  <si>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</si>
  <si>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</si>
  <si>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</si>
  <si>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</si>
  <si>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</si>
  <si>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</si>
  <si>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</si>
  <si>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</si>
  <si>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</si>
  <si>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</si>
  <si>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</si>
  <si>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</si>
  <si>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</si>
  <si>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</si>
  <si>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</si>
  <si>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</si>
  <si>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</si>
  <si>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</si>
  <si>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</si>
  <si>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</si>
  <si>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</si>
  <si>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</si>
  <si>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</si>
  <si>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</si>
  <si>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</si>
  <si>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</si>
  <si>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</si>
  <si>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</si>
  <si>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</si>
  <si>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</si>
  <si>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</si>
  <si>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</si>
  <si>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</si>
  <si>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</si>
  <si>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</si>
  <si>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</si>
  <si>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</si>
  <si>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</si>
  <si>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</si>
  <si>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</si>
  <si>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</si>
  <si>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</si>
  <si>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</si>
  <si>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</si>
  <si>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</si>
  <si>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</si>
  <si>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</si>
  <si>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</si>
  <si>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</si>
  <si>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</si>
  <si>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</si>
  <si>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</si>
  <si>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</si>
  <si>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</si>
  <si>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</si>
  <si>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</si>
  <si>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</si>
  <si>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</si>
  <si>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</si>
  <si>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</si>
  <si>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</si>
  <si>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</si>
  <si>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</si>
  <si>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</si>
  <si>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</si>
  <si>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</si>
  <si>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</si>
  <si>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</si>
  <si>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</si>
  <si>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</si>
  <si>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</si>
  <si>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</si>
  <si>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</si>
  <si>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</si>
  <si>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</si>
  <si>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</si>
  <si>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</si>
  <si>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</si>
  <si>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</si>
  <si>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</si>
  <si>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</si>
  <si>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</si>
  <si>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</si>
  <si>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</si>
  <si>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</si>
  <si>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</si>
  <si>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</si>
  <si>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</si>
  <si>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</si>
  <si>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</si>
  <si>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</si>
  <si>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</si>
  <si>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</si>
  <si>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</si>
  <si>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</si>
  <si>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</si>
  <si>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</si>
  <si>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</si>
  <si>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</si>
  <si>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</si>
  <si>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</si>
  <si>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</si>
  <si>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</si>
  <si>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</si>
  <si>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</si>
  <si>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</si>
  <si>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</si>
  <si>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</si>
  <si>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</si>
  <si>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</si>
  <si>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</si>
  <si>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</si>
  <si>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</si>
  <si>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</si>
  <si>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</si>
  <si>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</si>
  <si>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</si>
  <si>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</si>
  <si>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</si>
  <si>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</si>
  <si>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</si>
  <si>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</si>
  <si>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</si>
  <si>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</si>
  <si>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</si>
  <si>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</si>
  <si>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</si>
  <si>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</si>
  <si>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</si>
  <si>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</si>
  <si>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</si>
  <si>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</si>
  <si>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</si>
  <si>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</si>
  <si>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</si>
  <si>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</si>
  <si>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</si>
  <si>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</si>
  <si>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</si>
  <si>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</si>
  <si>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</si>
  <si>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</si>
  <si>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</si>
  <si>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</si>
  <si>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</si>
  <si>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</si>
  <si>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</si>
  <si>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</si>
  <si>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</si>
  <si>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</si>
  <si>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</si>
  <si>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</si>
  <si>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</si>
  <si>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</si>
  <si>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</si>
  <si>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</si>
  <si>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</si>
  <si>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</si>
  <si>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</si>
  <si>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</si>
  <si>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</si>
  <si>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</si>
  <si>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</si>
  <si>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</si>
  <si>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</si>
  <si>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</si>
  <si>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</si>
  <si>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</si>
  <si>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</si>
  <si>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</si>
  <si>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</si>
  <si>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</si>
  <si>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</si>
  <si>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</si>
  <si>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</si>
  <si>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</si>
  <si>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</si>
  <si>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</si>
  <si>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</si>
  <si>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</si>
  <si>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</si>
  <si>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</si>
  <si>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</si>
  <si>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</si>
  <si>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</si>
  <si>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</si>
  <si>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</si>
  <si>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</si>
  <si>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</si>
  <si>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</si>
  <si>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</si>
  <si>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</si>
  <si>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</si>
  <si>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</si>
  <si>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</si>
  <si>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</si>
  <si>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</si>
  <si>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</si>
  <si>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</si>
  <si>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</si>
  <si>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</si>
  <si>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</si>
  <si>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</si>
  <si>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</si>
  <si>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</si>
  <si>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</si>
  <si>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</si>
  <si>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</si>
  <si>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</si>
  <si>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</si>
  <si>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</si>
  <si>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</si>
  <si>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</si>
  <si>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</si>
  <si>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</si>
  <si>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</si>
  <si>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</si>
  <si>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</si>
  <si>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</si>
  <si>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</si>
  <si>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</si>
  <si>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</si>
  <si>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</si>
  <si>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</si>
  <si>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</si>
  <si>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</si>
  <si>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</si>
  <si>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</si>
  <si>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</si>
  <si>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</si>
  <si>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</si>
  <si>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</si>
  <si>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</si>
  <si>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</si>
  <si>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</si>
  <si>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</si>
  <si>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</si>
  <si>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</si>
  <si>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</si>
  <si>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</si>
  <si>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</si>
  <si>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</si>
  <si>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</si>
  <si>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</si>
  <si>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</si>
  <si>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</si>
  <si>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</si>
  <si>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</si>
  <si>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</si>
  <si>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</si>
  <si>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</si>
  <si>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</si>
  <si>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</si>
  <si>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</si>
  <si>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</si>
  <si>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</si>
  <si>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</si>
  <si>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</si>
  <si>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</si>
  <si>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</si>
  <si>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</si>
  <si>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</si>
  <si>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</si>
  <si>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</si>
  <si>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</si>
  <si>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</si>
  <si>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</si>
  <si>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</si>
  <si>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</si>
  <si>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</si>
  <si>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</si>
  <si>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</si>
  <si>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</si>
  <si>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</si>
  <si>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</si>
  <si>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</si>
  <si>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</si>
  <si>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</si>
  <si>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</si>
  <si>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</si>
  <si>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</si>
  <si>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</si>
  <si>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</si>
  <si>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</si>
  <si>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</si>
  <si>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</si>
  <si>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</si>
  <si>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</si>
  <si>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</si>
  <si>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</si>
  <si>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</si>
  <si>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</si>
  <si>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</si>
  <si>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</si>
  <si>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</si>
  <si>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</si>
  <si>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</si>
  <si>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</si>
  <si>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</si>
  <si>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</si>
  <si>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</si>
  <si>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</si>
  <si>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</si>
  <si>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</si>
  <si>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</si>
  <si>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</si>
  <si>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</si>
  <si>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</si>
  <si>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</si>
  <si>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</si>
  <si>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</si>
  <si>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</si>
  <si>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</si>
  <si>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</si>
  <si>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</si>
  <si>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</si>
  <si>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</si>
  <si>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</si>
  <si>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</si>
  <si>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</si>
  <si>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</si>
  <si>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</si>
  <si>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</si>
  <si>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</si>
  <si>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</si>
  <si>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</si>
  <si>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</si>
  <si>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</si>
  <si>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</si>
  <si>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</si>
  <si>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</si>
  <si>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</si>
  <si>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</si>
  <si>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</si>
  <si>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</si>
  <si>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</si>
  <si>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</si>
  <si>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</si>
  <si>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</si>
  <si>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</si>
  <si>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</si>
  <si>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</si>
  <si>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</si>
  <si>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</si>
  <si>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</si>
  <si>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</si>
  <si>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</si>
  <si>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</si>
  <si>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</si>
  <si>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</si>
  <si>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</si>
  <si>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</si>
  <si>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</si>
  <si>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</si>
  <si>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</si>
  <si>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</si>
  <si>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</si>
  <si>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</si>
  <si>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</si>
  <si>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</si>
  <si>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</si>
  <si>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</si>
  <si>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</si>
  <si>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</si>
  <si>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</si>
  <si>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</si>
  <si>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</si>
  <si>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</si>
  <si>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</si>
  <si>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</si>
  <si>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</si>
  <si>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</si>
  <si>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</si>
  <si>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</si>
  <si>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</si>
  <si>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</si>
  <si>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</si>
  <si>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</si>
  <si>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</si>
  <si>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</si>
  <si>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</si>
  <si>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</si>
  <si>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</si>
  <si>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</si>
  <si>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</si>
  <si>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</si>
  <si>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</si>
  <si>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</si>
  <si>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</si>
  <si>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</si>
  <si>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</si>
  <si>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</si>
  <si>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</si>
  <si>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</si>
  <si>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</si>
  <si>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</si>
  <si>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</si>
  <si>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</si>
  <si>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</si>
  <si>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</si>
  <si>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</si>
  <si>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</si>
  <si>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</si>
  <si>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</si>
  <si>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</si>
  <si>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</si>
  <si>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</si>
  <si>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</si>
  <si>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</si>
  <si>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</si>
  <si>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</si>
  <si>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</si>
  <si>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</si>
  <si>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</si>
  <si>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</si>
  <si>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</si>
  <si>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</si>
  <si>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</si>
  <si>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</si>
  <si>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</si>
  <si>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</si>
  <si>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</si>
  <si>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</si>
  <si>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</si>
  <si>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</si>
  <si>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</si>
  <si>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</si>
  <si>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</si>
  <si>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</si>
  <si>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</si>
  <si>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</si>
  <si>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</si>
  <si>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</si>
  <si>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</si>
  <si>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</si>
  <si>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</si>
  <si>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</si>
  <si>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</si>
  <si>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</si>
  <si>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</si>
  <si>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</si>
  <si>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</si>
  <si>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</si>
  <si>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</si>
  <si>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</si>
  <si>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</si>
  <si>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</si>
  <si>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</si>
  <si>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</si>
  <si>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</si>
  <si>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</si>
  <si>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</si>
  <si>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</si>
  <si>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</si>
  <si>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</si>
  <si>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</si>
  <si>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</si>
  <si>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</si>
  <si>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</si>
  <si>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</si>
  <si>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</si>
  <si>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</si>
  <si>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</si>
  <si>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</si>
  <si>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</si>
  <si>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</si>
  <si>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</si>
  <si>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</si>
  <si>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</si>
  <si>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</si>
  <si>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</si>
  <si>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</si>
  <si>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</si>
  <si>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</si>
  <si>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</si>
  <si>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</si>
  <si>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</si>
  <si>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</si>
  <si>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</si>
  <si>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</si>
  <si>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</si>
  <si>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</si>
  <si>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</si>
  <si>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</si>
  <si>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</si>
  <si>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</si>
  <si>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</si>
  <si>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</si>
  <si>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</si>
  <si>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</si>
  <si>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</si>
  <si>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</si>
  <si>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</si>
  <si>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</si>
  <si>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</si>
  <si>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</si>
  <si>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</si>
  <si>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</si>
  <si>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</si>
  <si>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</si>
  <si>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</si>
  <si>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</si>
  <si>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</si>
  <si>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</si>
  <si>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</si>
  <si>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</si>
  <si>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</si>
  <si>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</si>
  <si>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</si>
  <si>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</si>
  <si>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</si>
  <si>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</si>
  <si>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</si>
  <si>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</si>
  <si>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</si>
  <si>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</si>
  <si>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</si>
  <si>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</si>
  <si>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</si>
  <si>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</si>
  <si>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</si>
  <si>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</si>
  <si>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</si>
  <si>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</si>
  <si>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</si>
  <si>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</si>
  <si>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</si>
  <si>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</si>
  <si>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</si>
  <si>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</si>
  <si>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</si>
  <si>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</si>
  <si>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</si>
  <si>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</si>
  <si>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</si>
  <si>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</si>
  <si>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</si>
  <si>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</si>
  <si>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</si>
  <si>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</si>
  <si>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</si>
  <si>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</si>
  <si>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</si>
  <si>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</si>
  <si>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</si>
  <si>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</si>
  <si>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</si>
  <si>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</si>
  <si>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</si>
  <si>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</si>
  <si>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</si>
  <si>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</si>
  <si>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</si>
  <si>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</si>
  <si>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</si>
  <si>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</si>
  <si>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</si>
  <si>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</si>
  <si>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</si>
  <si>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</si>
  <si>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</si>
  <si>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</si>
  <si>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</si>
  <si>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</si>
  <si>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</si>
  <si>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</si>
  <si>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</si>
  <si>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</si>
  <si>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</si>
  <si>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</si>
  <si>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</si>
  <si>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</si>
  <si>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</si>
  <si>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</si>
  <si>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</si>
  <si>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</si>
  <si>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</si>
  <si>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</si>
  <si>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</si>
  <si>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</si>
  <si>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</si>
  <si>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</si>
  <si>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</si>
  <si>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</si>
  <si>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</si>
  <si>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</si>
  <si>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</si>
  <si>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</si>
  <si>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</si>
  <si>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</si>
  <si>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</si>
  <si>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</si>
  <si>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</si>
  <si>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</si>
  <si>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</si>
  <si>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</si>
  <si>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</si>
  <si>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</si>
  <si>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</si>
  <si>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</si>
  <si>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</si>
  <si>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</si>
  <si>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</si>
  <si>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</si>
  <si>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</si>
  <si>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</si>
  <si>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</si>
  <si>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</si>
  <si>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</si>
  <si>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</si>
  <si>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</si>
  <si>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</si>
  <si>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</si>
  <si>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</si>
  <si>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</si>
  <si>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</si>
  <si>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</si>
  <si>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</si>
  <si>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</si>
  <si>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</si>
  <si>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</si>
  <si>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</si>
  <si>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</si>
  <si>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</si>
  <si>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</si>
  <si>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</si>
  <si>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</si>
  <si>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</si>
  <si>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</si>
  <si>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</si>
  <si>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</si>
  <si>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</si>
  <si>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</si>
  <si>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</si>
  <si>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</si>
  <si>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</si>
  <si>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</si>
  <si>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</si>
  <si>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</si>
  <si>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</si>
  <si>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</si>
  <si>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</si>
  <si>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</si>
  <si>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</si>
  <si>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</si>
  <si>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</si>
  <si>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</si>
  <si>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</si>
  <si>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</si>
  <si>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</si>
  <si>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</si>
  <si>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</si>
  <si>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</si>
  <si>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</si>
  <si>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</si>
  <si>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</si>
  <si>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</si>
  <si>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</si>
  <si>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</si>
  <si>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</si>
  <si>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</si>
  <si>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</si>
  <si>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</si>
  <si>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</si>
  <si>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</si>
  <si>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</si>
  <si>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</si>
  <si>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</si>
  <si>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</si>
  <si>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</si>
  <si>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</si>
  <si>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</si>
  <si>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</si>
  <si>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</si>
  <si>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</si>
  <si>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</si>
  <si>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</si>
  <si>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</si>
  <si>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</si>
  <si>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</si>
  <si>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</si>
  <si>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</si>
  <si>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</si>
  <si>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</si>
  <si>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</si>
  <si>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</si>
  <si>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</si>
  <si>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</si>
  <si>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</si>
  <si>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</si>
  <si>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</si>
  <si>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</si>
  <si>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</si>
  <si>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</si>
  <si>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</si>
  <si>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</si>
  <si>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</si>
  <si>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</si>
  <si>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</si>
  <si>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</si>
  <si>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</si>
  <si>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</si>
  <si>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</si>
  <si>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</si>
  <si>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</si>
  <si>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</si>
  <si>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</si>
  <si>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</si>
  <si>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</si>
  <si>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</si>
  <si>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</si>
  <si>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</si>
  <si>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</si>
  <si>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</si>
  <si>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</si>
  <si>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</si>
  <si>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</si>
  <si>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</si>
  <si>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</si>
  <si>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</si>
  <si>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</si>
  <si>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</si>
  <si>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</si>
  <si>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</si>
  <si>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</si>
  <si>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</si>
  <si>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</si>
  <si>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</si>
  <si>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</si>
  <si>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</si>
  <si>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</si>
  <si>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</si>
  <si>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</si>
  <si>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</si>
  <si>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</si>
  <si>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</si>
  <si>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</si>
  <si>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</si>
  <si>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</si>
  <si>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</si>
  <si>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</si>
  <si>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</si>
  <si>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</si>
  <si>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</si>
  <si>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</si>
  <si>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</si>
  <si>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</si>
  <si>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</si>
  <si>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</si>
  <si>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</si>
  <si>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</si>
  <si>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</si>
  <si>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</si>
  <si>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</si>
  <si>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</si>
  <si>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</si>
  <si>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</si>
  <si>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</si>
  <si>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</si>
  <si>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</si>
  <si>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</si>
  <si>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</si>
  <si>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</si>
  <si>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</si>
  <si>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</si>
  <si>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</si>
  <si>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</si>
  <si>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</si>
  <si>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</si>
  <si>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</si>
  <si>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</si>
  <si>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</si>
  <si>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</si>
  <si>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</si>
  <si>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</si>
  <si>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</si>
  <si>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</si>
  <si>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</si>
  <si>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</si>
  <si>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</si>
  <si>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</si>
  <si>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</si>
  <si>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</si>
  <si>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</si>
  <si>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</si>
  <si>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</si>
  <si>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</si>
  <si>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</si>
  <si>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</si>
  <si>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</si>
  <si>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</si>
  <si>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</si>
  <si>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</si>
  <si>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</si>
  <si>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</si>
  <si>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</si>
  <si>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</si>
  <si>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</si>
  <si>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</si>
  <si>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</si>
  <si>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</si>
  <si>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</si>
  <si>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</si>
  <si>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</si>
  <si>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</si>
  <si>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</si>
  <si>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</si>
  <si>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</si>
  <si>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</si>
  <si>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</si>
  <si>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</si>
  <si>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</si>
  <si>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</si>
  <si>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</si>
  <si>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</si>
  <si>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</si>
  <si>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</si>
  <si>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</si>
  <si>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</si>
  <si>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</si>
  <si>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</si>
  <si>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</si>
  <si>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</si>
  <si>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</si>
  <si>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</si>
  <si>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</si>
  <si>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</si>
  <si>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</si>
  <si>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</si>
  <si>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</si>
  <si>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</si>
  <si>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</si>
  <si>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</si>
  <si>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</si>
  <si>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</si>
  <si>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</si>
  <si>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</si>
  <si>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</si>
  <si>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</si>
  <si>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</si>
  <si>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</si>
  <si>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</si>
  <si>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</si>
  <si>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</si>
  <si>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</si>
  <si>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</si>
  <si>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</si>
  <si>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</si>
  <si>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</si>
  <si>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</si>
  <si>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</si>
  <si>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</si>
  <si>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</si>
  <si>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</si>
  <si>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</si>
  <si>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</si>
  <si>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</si>
  <si>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</si>
  <si>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</si>
  <si>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</si>
  <si>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</si>
  <si>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</si>
  <si>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</si>
  <si>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</si>
  <si>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</si>
  <si>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</si>
  <si>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</si>
  <si>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</si>
  <si>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</si>
  <si>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</si>
  <si>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</si>
  <si>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</si>
  <si>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</si>
  <si>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</si>
  <si>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</si>
  <si>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</si>
  <si>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</si>
  <si>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</si>
  <si>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</si>
  <si>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</si>
  <si>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</si>
  <si>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</si>
  <si>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</si>
  <si>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</si>
  <si>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</si>
  <si>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</si>
  <si>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</si>
  <si>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</si>
  <si>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</si>
  <si>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</si>
  <si>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</si>
  <si>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</si>
  <si>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</si>
  <si>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</si>
  <si>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</si>
  <si>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</si>
  <si>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</si>
  <si>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</si>
  <si>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</si>
  <si>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</si>
  <si>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</si>
  <si>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</si>
  <si>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</si>
  <si>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</si>
  <si>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</si>
  <si>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</si>
  <si>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</si>
  <si>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</si>
  <si>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</si>
  <si>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</si>
  <si>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</si>
  <si>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</si>
  <si>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</si>
  <si>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</si>
  <si>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</si>
  <si>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</si>
  <si>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</si>
  <si>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</si>
  <si>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</si>
  <si>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</si>
  <si>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</si>
  <si>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</si>
  <si>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</si>
  <si>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</si>
  <si>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</si>
  <si>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</si>
  <si>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</si>
  <si>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</si>
  <si>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</si>
  <si>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</si>
  <si>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</si>
  <si>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</si>
  <si>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</si>
  <si>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</si>
  <si>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</si>
  <si>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</si>
  <si>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</si>
  <si>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</si>
  <si>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</si>
  <si>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</si>
  <si>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</si>
  <si>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</si>
  <si>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</si>
  <si>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</si>
  <si>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</si>
  <si>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</si>
  <si>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</si>
  <si>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</si>
  <si>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</si>
  <si>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</si>
  <si>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</si>
  <si>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</si>
  <si>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</si>
  <si>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</si>
  <si>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</si>
  <si>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</si>
  <si>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</si>
  <si>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</si>
  <si>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</si>
  <si>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</si>
  <si>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</si>
  <si>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</si>
  <si>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</si>
  <si>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</si>
  <si>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</si>
  <si>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</si>
  <si>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</si>
  <si>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</si>
  <si>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</si>
  <si>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</si>
  <si>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</si>
  <si>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</si>
  <si>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</si>
  <si>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</si>
  <si>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</si>
  <si>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</si>
  <si>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</si>
  <si>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</si>
  <si>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</si>
  <si>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</si>
  <si>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</si>
  <si>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</si>
  <si>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</si>
  <si>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</si>
  <si>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</si>
  <si>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</si>
  <si>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</si>
  <si>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</si>
  <si>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</si>
  <si>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</si>
  <si>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</si>
  <si>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</si>
  <si>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</si>
  <si>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</si>
  <si>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</si>
  <si>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</si>
  <si>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</si>
  <si>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</si>
  <si>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</si>
  <si>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</si>
  <si>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</si>
  <si>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</si>
  <si>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</si>
  <si>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</si>
  <si>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</si>
  <si>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</si>
  <si>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</si>
  <si>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</si>
  <si>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</si>
  <si>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</si>
  <si>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</si>
  <si>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</si>
  <si>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</si>
  <si>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</si>
  <si>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</si>
  <si>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</si>
  <si>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</si>
  <si>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</si>
  <si>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</si>
  <si>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</si>
  <si>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</si>
  <si>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</si>
  <si>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</si>
  <si>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</si>
  <si>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</si>
  <si>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</si>
  <si>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</si>
  <si>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</si>
  <si>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</si>
  <si>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</si>
  <si>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</si>
  <si>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</si>
  <si>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</si>
  <si>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</si>
  <si>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</si>
  <si>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</si>
  <si>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</si>
  <si>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</si>
  <si>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</si>
  <si>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</si>
  <si>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</si>
  <si>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</si>
  <si>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</si>
  <si>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</si>
  <si>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</si>
  <si>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</si>
  <si>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</si>
  <si>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</si>
  <si>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</si>
  <si>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</si>
  <si>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</si>
  <si>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</si>
  <si>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</si>
  <si>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</si>
  <si>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</si>
  <si>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</si>
  <si>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</si>
  <si>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</si>
  <si>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</si>
  <si>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</si>
  <si>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</si>
  <si>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</si>
  <si>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</si>
  <si>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</si>
  <si>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</si>
  <si>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</si>
  <si>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</si>
  <si>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</si>
  <si>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</si>
  <si>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</si>
  <si>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</si>
  <si>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</si>
  <si>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</si>
  <si>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</si>
  <si>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</si>
  <si>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</si>
  <si>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</si>
  <si>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</si>
  <si>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</si>
  <si>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</si>
  <si>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</si>
  <si>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</si>
  <si>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</si>
  <si>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</si>
  <si>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</si>
  <si>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</si>
  <si>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</si>
  <si>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</si>
  <si>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</si>
  <si>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</si>
  <si>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</si>
  <si>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</si>
  <si>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</si>
  <si>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</si>
  <si>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</si>
  <si>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</si>
  <si>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</si>
  <si>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</si>
  <si>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</si>
  <si>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</si>
  <si>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</si>
  <si>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</si>
  <si>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</si>
  <si>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</si>
  <si>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</si>
  <si>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</si>
  <si>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</si>
  <si>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</si>
  <si>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</si>
  <si>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</si>
  <si>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</si>
  <si>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</si>
  <si>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</si>
  <si>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</si>
  <si>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</si>
  <si>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</si>
  <si>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</si>
  <si>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</si>
  <si>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</si>
  <si>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</si>
  <si>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</si>
  <si>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</si>
  <si>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</si>
  <si>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</si>
  <si>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</si>
  <si>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</si>
  <si>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</si>
  <si>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</si>
  <si>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</si>
  <si>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</si>
  <si>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</si>
  <si>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</si>
  <si>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</si>
  <si>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</si>
  <si>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</si>
  <si>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</si>
  <si>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</si>
  <si>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</si>
  <si>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</si>
  <si>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</si>
  <si>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</si>
  <si>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</si>
  <si>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</si>
  <si>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</si>
  <si>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</si>
  <si>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</si>
  <si>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</si>
  <si>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</si>
  <si>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</si>
  <si>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</si>
  <si>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</si>
  <si>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</si>
  <si>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</si>
  <si>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</si>
  <si>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</si>
  <si>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</si>
  <si>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</si>
  <si>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</si>
  <si>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</si>
  <si>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</si>
  <si>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</si>
  <si>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</si>
  <si>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</si>
  <si>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</si>
  <si>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</si>
  <si>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</si>
  <si>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</si>
  <si>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</si>
  <si>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</si>
  <si>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</si>
  <si>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</si>
  <si>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</si>
  <si>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</si>
  <si>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</si>
  <si>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</si>
  <si>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</si>
  <si>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</si>
  <si>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</si>
  <si>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</si>
  <si>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</si>
  <si>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</si>
  <si>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</si>
  <si>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</si>
  <si>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</si>
  <si>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</si>
  <si>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</si>
  <si>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</si>
  <si>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</si>
  <si>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</si>
  <si>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</si>
  <si>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</si>
  <si>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</si>
  <si>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</si>
  <si>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</si>
  <si>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</si>
  <si>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</si>
  <si>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</si>
  <si>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</si>
  <si>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</si>
  <si>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</si>
  <si>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</si>
  <si>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</si>
  <si>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</si>
  <si>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</si>
  <si>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</si>
  <si>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</si>
  <si>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</si>
  <si>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</si>
  <si>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</si>
  <si>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</si>
  <si>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</si>
  <si>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</si>
  <si>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</si>
  <si>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</si>
  <si>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</si>
  <si>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</si>
  <si>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</si>
  <si>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</si>
  <si>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</si>
  <si>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</si>
  <si>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</si>
  <si>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</si>
  <si>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</si>
  <si>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</si>
  <si>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</si>
  <si>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</si>
  <si>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</si>
  <si>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</si>
  <si>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</si>
  <si>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</si>
  <si>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</si>
  <si>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</si>
  <si>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</si>
  <si>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</si>
  <si>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</si>
  <si>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</si>
  <si>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</si>
  <si>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</si>
  <si>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</si>
  <si>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</si>
  <si>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</si>
  <si>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</si>
  <si>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</si>
  <si>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</si>
  <si>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</si>
  <si>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</si>
  <si>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</si>
  <si>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</si>
  <si>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</si>
  <si>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</si>
  <si>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</si>
  <si>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</si>
  <si>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</si>
  <si>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</si>
  <si>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</si>
  <si>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</si>
  <si>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</si>
  <si>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</si>
  <si>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</si>
  <si>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</si>
  <si>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</si>
  <si>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</si>
  <si>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</si>
  <si>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</si>
  <si>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</si>
  <si>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</si>
  <si>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</si>
  <si>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</si>
  <si>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</si>
  <si>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</si>
  <si>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</si>
  <si>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</si>
  <si>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</si>
  <si>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</si>
  <si>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</si>
  <si>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</si>
  <si>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</si>
  <si>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</si>
  <si>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</si>
  <si>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</si>
  <si>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</si>
  <si>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</si>
  <si>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</si>
  <si>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</si>
  <si>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</si>
  <si>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</si>
  <si>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</si>
  <si>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</si>
  <si>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</si>
  <si>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</si>
  <si>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</si>
  <si>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</si>
  <si>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</si>
  <si>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</si>
  <si>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</si>
  <si>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</si>
  <si>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</si>
  <si>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</si>
  <si>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</si>
  <si>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</si>
  <si>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</si>
  <si>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</si>
  <si>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</si>
  <si>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</si>
  <si>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</si>
  <si>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</si>
  <si>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</si>
  <si>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</si>
  <si>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</si>
  <si>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</si>
  <si>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</si>
  <si>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</si>
  <si>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</si>
  <si>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</si>
  <si>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</si>
  <si>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</si>
  <si>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</si>
  <si>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</si>
  <si>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</si>
  <si>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</si>
  <si>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</si>
  <si>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</si>
  <si>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</si>
  <si>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</si>
  <si>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</si>
  <si>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</si>
  <si>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</si>
  <si>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</si>
  <si>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</si>
  <si>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</si>
  <si>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</si>
  <si>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</si>
  <si>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</si>
  <si>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</si>
  <si>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</si>
  <si>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</si>
  <si>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</si>
  <si>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</si>
  <si>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</si>
  <si>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</si>
  <si>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</si>
  <si>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</si>
  <si>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</si>
  <si>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</si>
  <si>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</si>
  <si>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</si>
  <si>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</si>
  <si>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</si>
  <si>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</si>
  <si>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</si>
  <si>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</si>
  <si>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</si>
  <si>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</si>
  <si>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</si>
  <si>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</si>
  <si>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</si>
  <si>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</si>
  <si>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</si>
  <si>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</si>
  <si>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</si>
  <si>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</si>
  <si>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</si>
  <si>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</si>
  <si>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</si>
  <si>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</si>
  <si>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</si>
  <si>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</si>
  <si>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</si>
  <si>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</si>
  <si>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</si>
  <si>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</si>
  <si>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</si>
  <si>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</si>
  <si>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</si>
  <si>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</si>
  <si>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</si>
  <si>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</si>
  <si>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</si>
  <si>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</si>
  <si>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</si>
  <si>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</si>
  <si>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</si>
  <si>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</si>
  <si>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</si>
  <si>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</si>
  <si>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</si>
  <si>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</si>
  <si>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</si>
  <si>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</si>
  <si>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</si>
  <si>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</si>
  <si>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</si>
  <si>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</si>
  <si>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</si>
  <si>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</si>
  <si>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</si>
  <si>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</si>
  <si>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</si>
  <si>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</si>
  <si>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</si>
  <si>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</si>
  <si>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</si>
  <si>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</si>
  <si>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</si>
  <si>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</si>
  <si>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</si>
  <si>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</si>
  <si>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</si>
  <si>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</si>
  <si>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</si>
  <si>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</si>
  <si>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</si>
  <si>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</si>
  <si>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</si>
  <si>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</si>
  <si>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</si>
  <si>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</si>
  <si>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</si>
  <si>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</si>
  <si>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</si>
  <si>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</si>
  <si>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</si>
  <si>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</si>
  <si>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</si>
  <si>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</si>
  <si>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</si>
  <si>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</si>
  <si>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</si>
  <si>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</si>
  <si>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</si>
  <si>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</si>
  <si>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</si>
  <si>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</si>
  <si>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</si>
  <si>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</si>
  <si>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</si>
  <si>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</si>
  <si>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</si>
  <si>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</si>
  <si>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</si>
  <si>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</si>
  <si>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</si>
  <si>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</si>
  <si>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</si>
  <si>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</si>
  <si>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</si>
  <si>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</si>
  <si>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</si>
  <si>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</si>
  <si>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</si>
  <si>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</si>
  <si>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</si>
  <si>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</si>
  <si>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</si>
  <si>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</si>
  <si>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</si>
  <si>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</si>
  <si>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</si>
  <si>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</si>
  <si>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</si>
  <si>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</si>
  <si>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</si>
  <si>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</si>
  <si>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</si>
  <si>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</si>
  <si>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</si>
  <si>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</si>
  <si>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</si>
  <si>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</si>
  <si>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</si>
  <si>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</si>
  <si>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</si>
  <si>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</si>
  <si>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</si>
  <si>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</si>
  <si>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</si>
  <si>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</si>
  <si>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</si>
  <si>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</si>
  <si>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</si>
  <si>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</si>
  <si>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</si>
  <si>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</si>
  <si>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</si>
  <si>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</si>
  <si>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</si>
  <si>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</si>
  <si>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</si>
  <si>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</si>
  <si>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</si>
  <si>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</si>
  <si>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</si>
  <si>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</si>
  <si>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</si>
  <si>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</si>
  <si>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</si>
  <si>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</si>
  <si>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</si>
  <si>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</si>
  <si>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</si>
  <si>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</si>
  <si>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</si>
  <si>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</si>
  <si>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</si>
  <si>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</si>
  <si>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</si>
  <si>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</si>
  <si>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</si>
  <si>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</si>
  <si>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</si>
  <si>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</si>
  <si>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</si>
  <si>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</si>
  <si>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</si>
  <si>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</si>
  <si>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</si>
  <si>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</si>
  <si>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</si>
  <si>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</si>
  <si>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</si>
  <si>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</si>
  <si>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</si>
  <si>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</si>
  <si>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</si>
  <si>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</si>
  <si>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</si>
  <si>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</si>
  <si>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</si>
  <si>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</si>
  <si>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</si>
  <si>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</si>
  <si>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</si>
  <si>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</si>
  <si>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</si>
  <si>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</si>
  <si>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</si>
  <si>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</si>
  <si>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</si>
  <si>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</si>
  <si>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</si>
  <si>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</si>
  <si>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</si>
  <si>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</si>
  <si>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</si>
  <si>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</si>
  <si>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</si>
  <si>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</si>
  <si>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</si>
  <si>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</si>
  <si>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</si>
  <si>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</si>
  <si>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</si>
  <si>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</si>
  <si>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</si>
  <si>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</si>
  <si>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</si>
  <si>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</si>
  <si>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</si>
  <si>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</si>
  <si>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</si>
  <si>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</si>
  <si>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</si>
  <si>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</si>
  <si>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</si>
  <si>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</si>
  <si>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</si>
  <si>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</si>
  <si>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</si>
  <si>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</si>
  <si>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</si>
  <si>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</si>
  <si>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</si>
  <si>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</si>
  <si>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</si>
  <si>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</si>
  <si>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</si>
  <si>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</si>
  <si>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</si>
  <si>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</si>
  <si>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</si>
  <si>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</si>
  <si>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</si>
  <si>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</si>
  <si>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</si>
  <si>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</si>
  <si>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</si>
  <si>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</si>
  <si>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</si>
  <si>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</si>
  <si>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</si>
  <si>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</si>
  <si>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</si>
  <si>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</si>
  <si>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</si>
  <si>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</si>
  <si>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</si>
  <si>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</si>
  <si>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</si>
  <si>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</si>
  <si>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</si>
  <si>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</si>
  <si>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</si>
  <si>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</si>
  <si>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</si>
  <si>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</si>
  <si>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</si>
  <si>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</si>
  <si>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</si>
  <si>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</si>
  <si>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</si>
  <si>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</si>
  <si>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</si>
  <si>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</si>
  <si>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</si>
  <si>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</si>
  <si>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</si>
  <si>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</si>
  <si>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</si>
  <si>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</si>
  <si>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</si>
  <si>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</si>
  <si>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</si>
  <si>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</si>
  <si>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</si>
  <si>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</si>
  <si>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</si>
  <si>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</si>
  <si>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</si>
  <si>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</si>
  <si>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</si>
  <si>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</si>
  <si>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</si>
  <si>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</si>
  <si>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</si>
  <si>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</si>
  <si>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</si>
  <si>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</si>
  <si>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</si>
  <si>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</si>
  <si>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</si>
  <si>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</si>
  <si>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</si>
  <si>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</si>
  <si>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</si>
  <si>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</si>
  <si>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</si>
  <si>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</si>
  <si>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</si>
  <si>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</si>
  <si>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</si>
  <si>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</si>
  <si>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</si>
  <si>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</si>
  <si>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</si>
  <si>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</si>
  <si>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</si>
  <si>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</si>
  <si>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</si>
  <si>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</si>
  <si>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</si>
  <si>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</si>
  <si>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</si>
  <si>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</si>
  <si>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</si>
  <si>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</si>
  <si>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</si>
  <si>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</si>
  <si>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</si>
  <si>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</si>
  <si>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</si>
  <si>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</si>
  <si>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</si>
  <si>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</si>
  <si>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</si>
  <si>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</si>
  <si>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</si>
  <si>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</si>
  <si>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</si>
  <si>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</si>
  <si>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</si>
  <si>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</si>
  <si>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</si>
  <si>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</si>
  <si>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</si>
  <si>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</si>
  <si>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</si>
  <si>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</si>
  <si>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</si>
  <si>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</si>
  <si>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</si>
  <si>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</si>
  <si>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</si>
  <si>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</si>
  <si>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</si>
  <si>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</si>
  <si>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</si>
  <si>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</si>
  <si>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</si>
  <si>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</si>
  <si>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</si>
  <si>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</si>
  <si>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</si>
  <si>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</si>
  <si>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</si>
  <si>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</si>
  <si>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</si>
  <si>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</si>
  <si>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</si>
  <si>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</si>
  <si>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</si>
  <si>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</si>
  <si>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</si>
  <si>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</si>
  <si>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</si>
  <si>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</si>
  <si>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</si>
  <si>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</si>
  <si>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</si>
  <si>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</si>
  <si>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</si>
  <si>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</si>
  <si>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</si>
  <si>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</si>
  <si>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</si>
  <si>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</si>
  <si>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</si>
  <si>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</si>
  <si>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</si>
  <si>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</si>
  <si>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</si>
  <si>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</si>
  <si>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</si>
  <si>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</si>
  <si>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</si>
  <si>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</si>
  <si>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</si>
  <si>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</si>
  <si>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</si>
  <si>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</si>
  <si>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</si>
  <si>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</si>
  <si>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</si>
  <si>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</si>
  <si>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</si>
  <si>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</si>
  <si>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</si>
  <si>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</si>
  <si>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</si>
  <si>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</si>
  <si>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</si>
  <si>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</si>
  <si>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</si>
  <si>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</si>
  <si>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</si>
  <si>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</si>
  <si>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</si>
  <si>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</si>
  <si>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</si>
  <si>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</si>
  <si>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</si>
  <si>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</si>
  <si>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</si>
  <si>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</si>
  <si>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</si>
  <si>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</si>
  <si>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</si>
  <si>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</si>
  <si>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</si>
  <si>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</si>
  <si>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</si>
  <si>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</si>
  <si>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</si>
  <si>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</si>
  <si>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</si>
  <si>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</si>
  <si>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</si>
  <si>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</si>
  <si>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</si>
  <si>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</si>
  <si>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</si>
  <si>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</si>
  <si>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</si>
  <si>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</si>
  <si>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</si>
  <si>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</si>
  <si>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</si>
  <si>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</si>
  <si>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</si>
  <si>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</si>
  <si>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</si>
  <si>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</si>
  <si>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</si>
  <si>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</si>
  <si>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</si>
  <si>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</si>
  <si>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</si>
  <si>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</si>
  <si>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</si>
  <si>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</si>
  <si>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</si>
  <si>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</si>
  <si>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</si>
  <si>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</si>
  <si>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</si>
  <si>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</si>
  <si>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</si>
  <si>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</si>
  <si>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</si>
  <si>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</si>
  <si>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</si>
  <si>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</si>
  <si>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</si>
  <si>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</si>
  <si>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</si>
  <si>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</si>
  <si>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</si>
  <si>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</si>
  <si>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</si>
  <si>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</si>
  <si>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</si>
  <si>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</si>
  <si>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</si>
  <si>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</si>
  <si>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</si>
  <si>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</si>
  <si>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</si>
  <si>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</si>
  <si>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</si>
  <si>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</si>
  <si>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</si>
  <si>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</si>
  <si>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</si>
  <si>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</si>
  <si>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</si>
  <si>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</si>
  <si>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</si>
  <si>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</si>
  <si>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</si>
  <si>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</si>
  <si>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</si>
  <si>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</si>
  <si>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</si>
  <si>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</si>
  <si>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</si>
  <si>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</si>
  <si>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</si>
  <si>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</si>
  <si>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</si>
  <si>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</si>
  <si>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</si>
  <si>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</si>
  <si>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</si>
  <si>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</si>
  <si>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</si>
  <si>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</si>
  <si>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</si>
  <si>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</si>
  <si>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</si>
  <si>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</si>
  <si>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</si>
  <si>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</si>
  <si>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</si>
  <si>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</si>
  <si>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</si>
  <si>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</si>
  <si>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</si>
  <si>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</si>
  <si>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</si>
  <si>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</si>
  <si>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</si>
  <si>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</si>
  <si>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</si>
  <si>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</si>
  <si>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</si>
  <si>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</si>
  <si>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</si>
  <si>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</si>
  <si>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</si>
  <si>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</si>
  <si>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</si>
  <si>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</si>
  <si>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</si>
  <si>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</si>
  <si>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</si>
  <si>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</si>
  <si>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</si>
  <si>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</si>
  <si>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</si>
  <si>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</si>
  <si>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</si>
  <si>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</si>
  <si>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</si>
  <si>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</si>
  <si>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</si>
  <si>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</si>
  <si>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</si>
  <si>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</si>
  <si>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</si>
  <si>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</si>
  <si>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</si>
  <si>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</si>
  <si>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</si>
  <si>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</si>
  <si>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</si>
  <si>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</si>
  <si>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</si>
  <si>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</si>
  <si>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</si>
  <si>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</si>
  <si>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</si>
  <si>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</si>
  <si>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</si>
  <si>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</si>
  <si>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</si>
  <si>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</si>
  <si>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</si>
  <si>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</si>
  <si>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</si>
  <si>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</si>
  <si>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</si>
  <si>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</si>
  <si>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</si>
  <si>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</si>
  <si>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</si>
  <si>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</si>
  <si>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</si>
  <si>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</si>
  <si>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</si>
  <si>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</si>
  <si>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</si>
  <si>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</si>
  <si>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</si>
  <si>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</si>
  <si>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</si>
  <si>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</si>
  <si>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</si>
  <si>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</si>
  <si>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</si>
  <si>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</si>
  <si>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</si>
  <si>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</si>
  <si>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</si>
  <si>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</si>
  <si>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</si>
  <si>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</si>
  <si>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</si>
  <si>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</si>
  <si>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</si>
  <si>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</si>
  <si>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</si>
  <si>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</si>
  <si>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</si>
  <si>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</si>
  <si>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</si>
  <si>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</si>
  <si>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</si>
  <si>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</si>
  <si>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</si>
  <si>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</si>
  <si>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</si>
  <si>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</si>
  <si>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</si>
  <si>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</si>
  <si>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</si>
  <si>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</si>
  <si>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</si>
  <si>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</si>
  <si>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</si>
  <si>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</si>
  <si>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</si>
  <si>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</si>
  <si>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</si>
  <si>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</si>
  <si>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</si>
  <si>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</si>
  <si>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</si>
  <si>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</si>
  <si>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</si>
  <si>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</si>
  <si>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</si>
  <si>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</si>
  <si>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</si>
  <si>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</si>
  <si>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</si>
  <si>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</si>
  <si>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</si>
  <si>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</si>
  <si>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</si>
  <si>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</si>
  <si>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</si>
  <si>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</si>
  <si>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</si>
  <si>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</si>
  <si>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</si>
  <si>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</si>
  <si>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</si>
  <si>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</si>
  <si>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</si>
  <si>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</si>
  <si>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</si>
  <si>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</si>
  <si>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</si>
  <si>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</si>
  <si>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</si>
  <si>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</si>
  <si>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</si>
  <si>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</si>
  <si>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</si>
  <si>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</si>
  <si>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</si>
  <si>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</si>
  <si>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</si>
  <si>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</si>
  <si>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</si>
  <si>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</si>
  <si>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</si>
  <si>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</si>
  <si>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</si>
  <si>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</si>
  <si>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</si>
  <si>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</si>
  <si>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</si>
  <si>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</si>
  <si>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</si>
  <si>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</si>
  <si>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</si>
  <si>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</si>
  <si>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</si>
  <si>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</si>
  <si>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</si>
  <si>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</si>
  <si>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</si>
  <si>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</si>
  <si>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</si>
  <si>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</si>
  <si>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</si>
  <si>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</si>
  <si>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</si>
  <si>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</si>
  <si>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</si>
  <si>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</si>
  <si>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</si>
  <si>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</si>
  <si>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</si>
  <si>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</si>
  <si>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</si>
  <si>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</si>
  <si>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</si>
  <si>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</si>
  <si>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</si>
  <si>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</si>
  <si>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</si>
  <si>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</si>
  <si>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</si>
  <si>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</si>
  <si>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</si>
  <si>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</si>
  <si>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</si>
  <si>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</si>
  <si>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</si>
  <si>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</si>
  <si>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</si>
  <si>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</si>
  <si>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</si>
  <si>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</si>
  <si>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</si>
  <si>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</si>
  <si>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</si>
  <si>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</si>
  <si>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</si>
  <si>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</si>
  <si>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</si>
  <si>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</si>
  <si>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</si>
  <si>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</si>
  <si>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</si>
  <si>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</si>
  <si>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</si>
  <si>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</si>
  <si>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</si>
  <si>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</si>
  <si>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</si>
  <si>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</si>
  <si>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</si>
  <si>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</si>
  <si>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</si>
  <si>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</si>
  <si>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</si>
  <si>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</si>
  <si>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</si>
  <si>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</si>
  <si>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</si>
  <si>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</si>
  <si>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</si>
  <si>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</si>
  <si>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</si>
  <si>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</si>
  <si>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</si>
  <si>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</si>
  <si>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</si>
  <si>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</si>
  <si>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</si>
  <si>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</si>
  <si>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</si>
  <si>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</si>
  <si>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</si>
  <si>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</si>
  <si>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</si>
  <si>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</si>
  <si>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</si>
  <si>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</si>
  <si>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</si>
  <si>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</si>
  <si>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</si>
  <si>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</si>
  <si>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</si>
  <si>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</si>
  <si>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</si>
  <si>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</si>
  <si>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</si>
  <si>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</si>
  <si>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</si>
  <si>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</si>
  <si>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</si>
  <si>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</si>
  <si>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</si>
  <si>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</si>
  <si>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</si>
  <si>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</si>
  <si>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</si>
  <si>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</si>
  <si>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</si>
  <si>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</si>
  <si>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</si>
  <si>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</si>
  <si>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</si>
  <si>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</si>
  <si>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</si>
  <si>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</si>
  <si>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</si>
  <si>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</si>
  <si>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</si>
  <si>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</si>
  <si>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</si>
  <si>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</si>
  <si>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</si>
  <si>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</si>
  <si>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</si>
  <si>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</si>
  <si>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</si>
  <si>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</si>
  <si>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</si>
  <si>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</si>
  <si>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</si>
  <si>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</si>
  <si>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</si>
  <si>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</si>
  <si>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</si>
  <si>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</si>
  <si>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</si>
  <si>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</si>
  <si>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</si>
  <si>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</si>
  <si>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</si>
  <si>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</si>
  <si>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</si>
  <si>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</si>
  <si>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</si>
  <si>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</si>
  <si>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</si>
  <si>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</si>
  <si>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</si>
  <si>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</si>
  <si>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</si>
  <si>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</si>
  <si>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</si>
  <si>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</si>
  <si>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</si>
  <si>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</si>
  <si>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</si>
  <si>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</si>
  <si>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</si>
  <si>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</si>
  <si>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</si>
  <si>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</si>
  <si>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</si>
  <si>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</si>
  <si>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</si>
  <si>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</si>
  <si>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</si>
  <si>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</si>
  <si>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</si>
  <si>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</si>
  <si>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</si>
  <si>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</si>
  <si>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</si>
  <si>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</si>
  <si>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</si>
  <si>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</si>
  <si>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</si>
  <si>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</si>
  <si>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</si>
  <si>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</si>
  <si>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</si>
  <si>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</si>
  <si>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</si>
  <si>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</si>
  <si>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</si>
  <si>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</si>
  <si>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</si>
  <si>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</si>
  <si>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</si>
  <si>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</si>
  <si>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</si>
  <si>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</si>
  <si>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</si>
  <si>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</si>
  <si>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</si>
  <si>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</si>
  <si>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</si>
  <si>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</si>
  <si>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</si>
  <si>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</si>
  <si>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</si>
  <si>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</si>
  <si>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</si>
  <si>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</si>
  <si>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</si>
  <si>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</si>
  <si>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</si>
  <si>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</si>
  <si>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</si>
  <si>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</si>
  <si>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</si>
  <si>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</si>
  <si>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</si>
  <si>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</si>
  <si>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</si>
  <si>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</si>
  <si>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</si>
  <si>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</si>
  <si>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</si>
  <si>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</si>
  <si>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</si>
  <si>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</si>
  <si>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</si>
  <si>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</si>
  <si>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</si>
  <si>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</si>
  <si>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</si>
  <si>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</si>
  <si>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</si>
  <si>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</si>
  <si>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</si>
  <si>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</si>
  <si>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</si>
  <si>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</si>
  <si>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</si>
  <si>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</si>
  <si>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</si>
  <si>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</si>
  <si>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</si>
  <si>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</si>
  <si>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</si>
  <si>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</si>
  <si>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</si>
  <si>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</si>
  <si>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</si>
  <si>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</si>
  <si>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</si>
  <si>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</si>
  <si>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</si>
  <si>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</si>
  <si>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</si>
  <si>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</si>
  <si>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</si>
  <si>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</si>
  <si>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</si>
  <si>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</si>
  <si>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</si>
  <si>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</si>
  <si>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</si>
  <si>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</si>
  <si>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</si>
  <si>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</si>
  <si>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</si>
  <si>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</si>
  <si>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</si>
  <si>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</si>
  <si>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</si>
  <si>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</si>
  <si>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</si>
  <si>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</si>
  <si>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</si>
  <si>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</si>
  <si>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</si>
  <si>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</si>
  <si>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</si>
  <si>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</si>
  <si>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</si>
  <si>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</si>
  <si>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</si>
  <si>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</si>
  <si>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</si>
  <si>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</si>
  <si>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</si>
  <si>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</si>
  <si>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</si>
  <si>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</si>
  <si>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</si>
  <si>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</si>
  <si>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</si>
  <si>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</si>
  <si>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</si>
  <si>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</si>
  <si>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</si>
  <si>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</si>
  <si>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</si>
  <si>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</si>
  <si>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</si>
  <si>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</si>
  <si>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</si>
  <si>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</si>
  <si>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</si>
  <si>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</si>
  <si>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</si>
  <si>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</si>
  <si>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</si>
  <si>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</si>
  <si>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</si>
  <si>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</si>
  <si>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</si>
  <si>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</si>
  <si>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</si>
  <si>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</si>
  <si>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</si>
  <si>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</si>
  <si>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</si>
  <si>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</si>
  <si>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</si>
  <si>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</si>
  <si>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</si>
  <si>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</si>
  <si>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</si>
  <si>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</si>
  <si>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</si>
  <si>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</si>
  <si>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</si>
  <si>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</si>
  <si>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</si>
  <si>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</si>
  <si>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</si>
  <si>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</si>
  <si>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</si>
  <si>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</si>
  <si>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</si>
  <si>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</si>
  <si>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</si>
  <si>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</si>
  <si>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</si>
  <si>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</si>
  <si>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</si>
  <si>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</si>
  <si>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</si>
  <si>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</si>
  <si>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</si>
  <si>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</si>
  <si>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</si>
  <si>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</si>
  <si>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</si>
  <si>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</si>
  <si>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</si>
  <si>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</si>
  <si>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</si>
  <si>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</si>
  <si>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</si>
  <si>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</si>
  <si>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</si>
  <si>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</si>
  <si>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</si>
  <si>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</si>
  <si>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</si>
  <si>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</si>
  <si>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</si>
  <si>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</si>
  <si>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</si>
  <si>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</si>
  <si>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</si>
  <si>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</si>
  <si>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</si>
  <si>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</si>
  <si>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</si>
  <si>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</si>
  <si>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</si>
  <si>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</si>
  <si>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</si>
  <si>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</si>
  <si>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</si>
  <si>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</si>
  <si>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</si>
  <si>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</si>
  <si>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</si>
  <si>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</si>
  <si>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</si>
  <si>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</si>
  <si>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</si>
  <si>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</si>
  <si>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</si>
  <si>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</si>
  <si>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</si>
  <si>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</si>
  <si>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</si>
  <si>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</si>
  <si>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</si>
  <si>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</si>
  <si>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</si>
  <si>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</si>
  <si>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</si>
  <si>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</si>
  <si>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</si>
  <si>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</si>
  <si>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</si>
  <si>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</si>
  <si>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</si>
  <si>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</si>
  <si>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</si>
  <si>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</si>
  <si>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</si>
  <si>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</si>
  <si>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</si>
  <si>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</si>
  <si>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</si>
  <si>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</si>
  <si>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</si>
  <si>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</si>
  <si>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</si>
  <si>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</si>
  <si>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</si>
  <si>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</si>
  <si>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</si>
  <si>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</si>
  <si>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</si>
  <si>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</si>
  <si>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</si>
  <si>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</si>
  <si>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</si>
  <si>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</si>
  <si>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</si>
  <si>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</si>
  <si>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</si>
  <si>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</si>
  <si>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</si>
  <si>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</si>
  <si>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</si>
  <si>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</si>
  <si>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</si>
  <si>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</si>
  <si>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</si>
  <si>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</si>
  <si>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</si>
  <si>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</si>
  <si>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</si>
  <si>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</si>
  <si>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</si>
  <si>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</si>
  <si>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</si>
  <si>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</si>
  <si>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</si>
  <si>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</si>
  <si>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</si>
  <si>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</si>
  <si>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</si>
  <si>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</si>
  <si>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</si>
  <si>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</si>
  <si>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</si>
  <si>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</si>
  <si>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</si>
  <si>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</si>
  <si>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</si>
  <si>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</si>
  <si>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</si>
  <si>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</si>
  <si>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</si>
  <si>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</si>
  <si>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</si>
  <si>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</si>
  <si>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</si>
  <si>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</si>
  <si>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</si>
  <si>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</si>
  <si>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</si>
  <si>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</si>
  <si>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</si>
  <si>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</si>
  <si>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</si>
  <si>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</si>
  <si>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</si>
  <si>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</si>
  <si>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</si>
  <si>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</si>
  <si>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</si>
  <si>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</si>
  <si>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</si>
  <si>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</si>
  <si>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</si>
  <si>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</si>
  <si>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</si>
  <si>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</si>
  <si>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</si>
  <si>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</si>
  <si>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</si>
  <si>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</si>
  <si>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</si>
  <si>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</si>
  <si>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</si>
  <si>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</si>
  <si>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</si>
  <si>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</si>
  <si>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</si>
  <si>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</si>
  <si>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</si>
  <si>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</si>
  <si>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</si>
  <si>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</si>
  <si>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</si>
  <si>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</si>
  <si>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</si>
  <si>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</si>
  <si>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</si>
  <si>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</si>
  <si>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</si>
  <si>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</si>
  <si>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</si>
  <si>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</si>
  <si>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</si>
  <si>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</si>
  <si>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</si>
  <si>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</si>
  <si>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</si>
  <si>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</si>
  <si>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</si>
  <si>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</si>
  <si>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</si>
  <si>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</si>
  <si>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</si>
  <si>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</si>
  <si>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</si>
  <si>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</si>
  <si>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</si>
  <si>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</si>
  <si>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</si>
  <si>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</si>
  <si>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</si>
  <si>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</si>
  <si>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</si>
  <si>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</si>
  <si>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</si>
  <si>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</si>
  <si>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</si>
  <si>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</si>
  <si>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</si>
  <si>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</si>
  <si>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</si>
  <si>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</si>
  <si>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</si>
  <si>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</si>
  <si>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</si>
  <si>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</si>
  <si>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</si>
  <si>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</si>
  <si>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</si>
  <si>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</si>
  <si>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</si>
  <si>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</si>
  <si>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</si>
  <si>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</si>
  <si>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</si>
  <si>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</si>
  <si>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</si>
  <si>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</si>
  <si>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</si>
  <si>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</si>
  <si>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</si>
  <si>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</si>
  <si>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</si>
  <si>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</si>
  <si>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</si>
  <si>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</si>
  <si>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</si>
  <si>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</si>
  <si>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</si>
  <si>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</si>
  <si>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</si>
  <si>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</si>
  <si>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</si>
  <si>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</si>
  <si>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</si>
  <si>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</si>
  <si>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</si>
  <si>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</si>
  <si>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</si>
  <si>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</si>
  <si>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</si>
  <si>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</si>
  <si>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</si>
  <si>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</si>
  <si>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</si>
  <si>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</si>
  <si>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</si>
  <si>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</si>
  <si>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</si>
  <si>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</si>
  <si>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</si>
  <si>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</si>
  <si>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</si>
  <si>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</si>
  <si>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</si>
  <si>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</si>
  <si>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</si>
  <si>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</si>
  <si>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</si>
  <si>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</si>
  <si>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</si>
  <si>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</si>
  <si>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</si>
  <si>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</si>
  <si>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</si>
  <si>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</si>
  <si>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</si>
  <si>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</si>
  <si>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</si>
  <si>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</si>
  <si>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</si>
  <si>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</si>
  <si>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</si>
  <si>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</si>
  <si>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</si>
  <si>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</si>
  <si>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</si>
  <si>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</si>
  <si>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</si>
  <si>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</si>
  <si>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</si>
  <si>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</si>
  <si>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</si>
  <si>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</si>
  <si>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</si>
  <si>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</si>
  <si>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</si>
  <si>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</si>
  <si>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</si>
  <si>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</si>
  <si>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</si>
  <si>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</si>
  <si>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</si>
  <si>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</si>
  <si>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</si>
  <si>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</si>
  <si>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</si>
  <si>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</si>
  <si>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</si>
  <si>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</si>
  <si>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</si>
  <si>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</si>
  <si>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</si>
  <si>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</si>
  <si>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</si>
  <si>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</si>
  <si>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</si>
  <si>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</si>
  <si>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</si>
  <si>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</si>
  <si>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</si>
  <si>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</si>
  <si>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</si>
  <si>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</si>
  <si>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</si>
  <si>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</si>
  <si>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</si>
  <si>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</si>
  <si>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</si>
  <si>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</si>
  <si>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</si>
  <si>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</si>
  <si>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</si>
  <si>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</si>
  <si>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</si>
  <si>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</si>
  <si>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</si>
  <si>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</si>
  <si>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</si>
  <si>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</si>
  <si>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</si>
  <si>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</si>
  <si>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</si>
  <si>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</si>
  <si>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</si>
  <si>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</si>
  <si>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</si>
  <si>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</si>
  <si>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</si>
  <si>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</si>
  <si>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</si>
  <si>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</si>
  <si>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</si>
  <si>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</si>
  <si>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</si>
  <si>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</si>
  <si>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</si>
  <si>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</si>
  <si>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</si>
  <si>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</si>
  <si>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</si>
  <si>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</si>
  <si>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</si>
  <si>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</si>
  <si>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</si>
  <si>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</si>
  <si>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</si>
  <si>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</si>
  <si>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</si>
  <si>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</si>
  <si>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</si>
  <si>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</si>
  <si>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</si>
  <si>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</si>
  <si>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</si>
  <si>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</si>
  <si>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</si>
  <si>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</si>
  <si>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</si>
  <si>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</si>
  <si>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</si>
  <si>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</si>
  <si>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</si>
  <si>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</si>
  <si>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</si>
  <si>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</si>
  <si>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</si>
  <si>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</si>
  <si>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</si>
  <si>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</si>
  <si>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</si>
  <si>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</si>
  <si>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</si>
  <si>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</si>
  <si>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</si>
  <si>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</si>
  <si>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</si>
  <si>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</si>
  <si>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</si>
  <si>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</si>
  <si>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</si>
  <si>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</si>
  <si>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</si>
  <si>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</si>
  <si>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</si>
  <si>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</si>
  <si>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</si>
  <si>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</si>
  <si>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</si>
  <si>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</si>
  <si>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</si>
  <si>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</si>
  <si>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</si>
  <si>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</si>
  <si>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</si>
  <si>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</si>
  <si>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</si>
  <si>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</si>
  <si>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</si>
  <si>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</si>
  <si>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</si>
  <si>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</si>
  <si>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</si>
  <si>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</si>
  <si>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</si>
  <si>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</si>
  <si>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</si>
  <si>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</si>
  <si>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</si>
  <si>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</si>
  <si>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</si>
  <si>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</si>
  <si>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</si>
  <si>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</si>
  <si>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</si>
  <si>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</si>
  <si>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</si>
  <si>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</si>
  <si>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</si>
  <si>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</si>
  <si>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</si>
  <si>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</si>
  <si>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</si>
  <si>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</si>
  <si>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</si>
  <si>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</si>
  <si>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</si>
  <si>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</si>
  <si>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</si>
  <si>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</si>
  <si>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</si>
  <si>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</si>
  <si>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</si>
  <si>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</si>
  <si>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</si>
  <si>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</si>
  <si>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</si>
  <si>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</si>
  <si>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</si>
  <si>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</si>
  <si>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</si>
  <si>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</si>
  <si>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</si>
  <si>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</si>
  <si>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</si>
  <si>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</si>
  <si>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</si>
  <si>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</si>
  <si>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</si>
  <si>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</si>
  <si>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</si>
  <si>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</si>
  <si>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</si>
  <si>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</si>
  <si>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</si>
  <si>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</si>
  <si>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</si>
  <si>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</si>
  <si>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</si>
  <si>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</si>
  <si>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</si>
  <si>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</si>
  <si>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</si>
  <si>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</si>
  <si>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</si>
  <si>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</si>
  <si>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</si>
  <si>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</si>
  <si>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</si>
  <si>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</si>
  <si>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</si>
  <si>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</si>
  <si>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</si>
  <si>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</si>
  <si>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</si>
  <si>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</si>
  <si>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</si>
  <si>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</si>
  <si>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</si>
  <si>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</si>
  <si>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</si>
  <si>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</si>
  <si>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</si>
  <si>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</si>
  <si>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</si>
  <si>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</si>
  <si>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</si>
  <si>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</si>
  <si>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</si>
  <si>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</si>
  <si>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</si>
  <si>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</si>
  <si>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</si>
  <si>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</si>
  <si>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</si>
  <si>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</si>
  <si>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</si>
  <si>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</si>
  <si>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</si>
  <si>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</si>
  <si>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</si>
  <si>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</si>
  <si>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</si>
  <si>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</si>
  <si>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</si>
  <si>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</si>
  <si>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</si>
  <si>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</si>
  <si>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</si>
  <si>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</si>
  <si>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</si>
  <si>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</si>
  <si>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</si>
  <si>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</si>
  <si>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</si>
  <si>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</si>
  <si>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</si>
  <si>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</si>
  <si>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</si>
  <si>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</si>
  <si>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</si>
  <si>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</si>
  <si>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</si>
  <si>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</si>
  <si>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</si>
  <si>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</si>
  <si>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</si>
  <si>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</si>
  <si>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</si>
  <si>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</si>
  <si>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</si>
  <si>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</si>
  <si>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</si>
  <si>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</si>
  <si>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</si>
  <si>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</si>
  <si>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</si>
  <si>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</si>
  <si>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</si>
  <si>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</si>
  <si>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</si>
  <si>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</si>
  <si>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</si>
  <si>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</si>
  <si>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</si>
  <si>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</si>
  <si>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</si>
  <si>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</si>
  <si>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</si>
  <si>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</si>
  <si>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</si>
  <si>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</si>
  <si>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</si>
  <si>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</si>
  <si>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</si>
  <si>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</si>
  <si>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</si>
  <si>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</si>
  <si>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</si>
  <si>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</si>
  <si>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</si>
  <si>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</si>
  <si>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</si>
  <si>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</si>
  <si>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</si>
  <si>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</si>
  <si>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</si>
  <si>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</si>
  <si>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</si>
  <si>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</si>
  <si>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</si>
  <si>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</si>
  <si>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</si>
  <si>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</si>
  <si>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</si>
  <si>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</si>
  <si>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</si>
  <si>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</si>
  <si>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</si>
  <si>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</si>
  <si>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</si>
  <si>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</si>
  <si>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</si>
  <si>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</si>
  <si>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</si>
  <si>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</si>
  <si>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</si>
  <si>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</si>
  <si>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</si>
  <si>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</si>
  <si>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</si>
  <si>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</si>
  <si>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</si>
  <si>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</si>
  <si>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</si>
  <si>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</si>
  <si>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</si>
  <si>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</si>
  <si>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</si>
  <si>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</si>
  <si>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</si>
  <si>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</si>
  <si>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</si>
  <si>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</si>
  <si>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</si>
  <si>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</si>
  <si>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</si>
  <si>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</si>
  <si>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</si>
  <si>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</si>
  <si>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</si>
  <si>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</si>
  <si>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</si>
  <si>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</si>
  <si>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</si>
  <si>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</si>
  <si>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</si>
  <si>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</si>
  <si>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</si>
  <si>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</si>
  <si>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</si>
  <si>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</si>
  <si>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</si>
  <si>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</si>
  <si>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</si>
  <si>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</si>
  <si>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</si>
  <si>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</si>
  <si>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</si>
  <si>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</si>
  <si>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</si>
  <si>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</si>
  <si>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</si>
  <si>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</si>
  <si>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</si>
  <si>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</si>
  <si>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</si>
  <si>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</si>
  <si>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</si>
  <si>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</si>
  <si>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</si>
  <si>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</si>
  <si>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</si>
  <si>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</si>
  <si>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</si>
  <si>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</si>
  <si>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</si>
  <si>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</si>
  <si>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</si>
  <si>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</si>
  <si>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</si>
  <si>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</si>
  <si>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</si>
  <si>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</si>
  <si>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</si>
  <si>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</si>
  <si>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</si>
  <si>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</si>
  <si>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</si>
  <si>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</si>
  <si>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</si>
  <si>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</si>
  <si>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</si>
  <si>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</si>
  <si>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</si>
  <si>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</si>
  <si>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</si>
  <si>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</si>
  <si>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</si>
  <si>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</si>
  <si>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</si>
  <si>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</si>
  <si>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</si>
  <si>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</si>
  <si>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</si>
  <si>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</si>
  <si>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</si>
  <si>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</si>
  <si>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</si>
  <si>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</si>
  <si>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</si>
  <si>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</si>
  <si>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</si>
  <si>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</si>
  <si>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</si>
  <si>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</si>
  <si>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</si>
  <si>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</si>
  <si>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</si>
  <si>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</si>
  <si>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</si>
  <si>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</si>
  <si>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</si>
  <si>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</si>
  <si>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</si>
  <si>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</si>
  <si>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</si>
  <si>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</si>
  <si>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</si>
  <si>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</si>
  <si>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</si>
  <si>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</si>
  <si>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</si>
  <si>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</si>
  <si>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</si>
  <si>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</si>
  <si>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</si>
  <si>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</si>
  <si>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</si>
  <si>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</si>
  <si>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</si>
  <si>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</si>
  <si>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</si>
  <si>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</si>
  <si>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</si>
  <si>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</si>
  <si>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</si>
  <si>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</si>
  <si>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</si>
  <si>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</si>
  <si>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</si>
  <si>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</si>
  <si>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</si>
  <si>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</si>
  <si>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</si>
  <si>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</si>
  <si>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</si>
  <si>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</si>
  <si>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</si>
  <si>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</si>
  <si>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</si>
  <si>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</si>
  <si>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</si>
  <si>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</si>
  <si>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</si>
  <si>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</si>
  <si>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</si>
  <si>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</si>
  <si>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</si>
  <si>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</si>
  <si>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</si>
  <si>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</si>
  <si>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</si>
  <si>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</si>
  <si>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</si>
  <si>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</si>
  <si>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</si>
  <si>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</si>
  <si>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</si>
  <si>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</si>
  <si>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</si>
  <si>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</si>
  <si>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</si>
  <si>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</si>
  <si>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</si>
  <si>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</si>
  <si>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</si>
  <si>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</si>
  <si>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</si>
  <si>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</si>
  <si>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</si>
  <si>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</si>
  <si>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</si>
  <si>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</si>
  <si>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</si>
  <si>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</si>
  <si>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</si>
  <si>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</si>
  <si>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</si>
  <si>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</si>
  <si>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</si>
  <si>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</si>
  <si>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</si>
  <si>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</si>
  <si>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</si>
  <si>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</si>
  <si>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</si>
  <si>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</si>
  <si>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</si>
  <si>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</si>
  <si>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</si>
  <si>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</si>
  <si>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</si>
  <si>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</si>
  <si>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</si>
  <si>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</si>
  <si>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</si>
  <si>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</si>
  <si>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</si>
  <si>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</si>
  <si>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</si>
  <si>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</si>
  <si>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</si>
  <si>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</si>
  <si>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</si>
  <si>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</si>
  <si>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</si>
  <si>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</si>
  <si>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</si>
  <si>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</si>
  <si>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</si>
  <si>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</si>
  <si>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</si>
  <si>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</si>
  <si>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</si>
  <si>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</si>
  <si>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</si>
  <si>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</si>
  <si>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</si>
  <si>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</si>
  <si>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</si>
  <si>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</si>
  <si>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</si>
  <si>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</si>
  <si>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</si>
  <si>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</si>
  <si>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</si>
  <si>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</si>
  <si>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</si>
  <si>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</si>
  <si>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</si>
  <si>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</si>
  <si>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</si>
  <si>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</si>
  <si>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</si>
  <si>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</si>
  <si>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</si>
  <si>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</si>
  <si>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</si>
  <si>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</si>
  <si>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</si>
  <si>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</si>
  <si>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</si>
  <si>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</si>
  <si>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</si>
  <si>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</si>
  <si>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</si>
  <si>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</si>
  <si>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</si>
  <si>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</si>
  <si>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</si>
  <si>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</si>
  <si>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</si>
  <si>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</si>
  <si>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</si>
  <si>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</si>
  <si>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</si>
  <si>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</si>
  <si>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</si>
  <si>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</si>
  <si>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</si>
  <si>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</si>
  <si>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</si>
  <si>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</si>
  <si>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</si>
  <si>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</si>
  <si>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</si>
  <si>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</si>
  <si>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</si>
  <si>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</si>
  <si>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</si>
  <si>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</si>
  <si>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</si>
  <si>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</si>
  <si>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</si>
  <si>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</si>
  <si>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</si>
  <si>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</si>
  <si>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</si>
  <si>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</si>
  <si>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</si>
  <si>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</si>
  <si>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</si>
  <si>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</si>
  <si>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</si>
  <si>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</si>
  <si>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</si>
  <si>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</si>
  <si>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</si>
  <si>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</si>
  <si>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</si>
  <si>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</si>
  <si>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</si>
  <si>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</si>
  <si>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</si>
  <si>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</si>
  <si>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</si>
  <si>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</si>
  <si>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</si>
  <si>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</si>
  <si>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</si>
  <si>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</si>
  <si>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</si>
  <si>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</si>
  <si>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</si>
  <si>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</si>
  <si>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</si>
  <si>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</si>
  <si>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</si>
  <si>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</si>
  <si>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</si>
  <si>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</si>
  <si>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</si>
  <si>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</si>
  <si>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</si>
  <si>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</si>
  <si>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</si>
  <si>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</si>
  <si>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</si>
  <si>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</si>
  <si>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</si>
  <si>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</si>
  <si>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</si>
  <si>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</si>
  <si>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</si>
  <si>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</si>
  <si>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</si>
  <si>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</si>
  <si>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</si>
  <si>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</si>
  <si>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</si>
  <si>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</si>
  <si>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</si>
  <si>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</si>
  <si>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</si>
  <si>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</si>
  <si>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</si>
  <si>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</si>
  <si>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</si>
  <si>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</si>
  <si>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</si>
  <si>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</si>
  <si>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</si>
  <si>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</si>
  <si>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</si>
  <si>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</si>
  <si>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</si>
  <si>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</si>
  <si>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</si>
  <si>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</si>
  <si>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</si>
  <si>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</si>
  <si>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</si>
  <si>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</si>
  <si>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</si>
  <si>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</si>
  <si>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</si>
  <si>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</si>
  <si>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</si>
  <si>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</si>
  <si>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</si>
  <si>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</si>
  <si>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</si>
  <si>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</si>
  <si>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</si>
  <si>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</si>
  <si>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</si>
  <si>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</si>
  <si>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</si>
  <si>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</si>
  <si>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</si>
  <si>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</si>
  <si>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</si>
  <si>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</si>
  <si>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</si>
  <si>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</si>
  <si>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</si>
  <si>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</si>
  <si>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</si>
  <si>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</si>
  <si>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</si>
  <si>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</si>
  <si>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</si>
  <si>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</si>
  <si>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</si>
  <si>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</si>
  <si>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</si>
  <si>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</si>
  <si>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</si>
  <si>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</si>
  <si>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</si>
  <si>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</si>
  <si>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</si>
  <si>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</si>
  <si>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</si>
  <si>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</si>
  <si>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</si>
  <si>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</si>
  <si>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</si>
  <si>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</si>
  <si>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</si>
  <si>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</si>
  <si>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</si>
  <si>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</si>
  <si>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</si>
  <si>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</si>
  <si>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</si>
  <si>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</si>
  <si>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</si>
  <si>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</si>
  <si>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</si>
  <si>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</si>
  <si>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</si>
  <si>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</si>
  <si>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</si>
  <si>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</si>
  <si>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</si>
  <si>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</si>
  <si>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</si>
  <si>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</si>
  <si>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</si>
  <si>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</si>
  <si>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</si>
  <si>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</si>
  <si>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</si>
  <si>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</si>
  <si>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</si>
  <si>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</si>
  <si>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</si>
  <si>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</si>
  <si>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</si>
  <si>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</si>
  <si>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</si>
  <si>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</si>
  <si>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</si>
  <si>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</si>
  <si>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</si>
  <si>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</si>
  <si>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</si>
  <si>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</si>
  <si>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</si>
  <si>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</si>
  <si>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</si>
  <si>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</si>
  <si>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</si>
  <si>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</si>
  <si>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</si>
  <si>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</si>
  <si>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</si>
  <si>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</si>
  <si>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</si>
  <si>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</si>
  <si>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</si>
  <si>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</si>
  <si>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</si>
  <si>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</si>
  <si>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</si>
  <si>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</si>
  <si>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</si>
  <si>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</si>
  <si>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</si>
  <si>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</si>
  <si>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</si>
  <si>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</si>
  <si>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</si>
  <si>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</si>
  <si>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</si>
  <si>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</si>
  <si>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</si>
  <si>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</si>
  <si>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</si>
  <si>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</si>
  <si>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</si>
  <si>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</si>
  <si>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</si>
  <si>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</si>
  <si>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</si>
  <si>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</si>
  <si>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</si>
  <si>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</si>
  <si>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</si>
  <si>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</si>
  <si>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</si>
  <si>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</si>
  <si>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</si>
  <si>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</si>
  <si>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</si>
  <si>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</si>
  <si>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</si>
  <si>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</si>
  <si>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</si>
  <si>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</si>
  <si>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</si>
  <si>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</si>
  <si>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</si>
  <si>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</si>
  <si>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</si>
  <si>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</si>
  <si>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</si>
  <si>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</si>
  <si>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</si>
  <si>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</si>
  <si>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</si>
  <si>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</si>
  <si>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</si>
  <si>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</si>
  <si>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</si>
  <si>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</si>
  <si>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</si>
  <si>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</si>
  <si>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</si>
  <si>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</si>
  <si>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</si>
  <si>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</si>
  <si>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</si>
  <si>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</si>
  <si>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</si>
  <si>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</si>
  <si>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</si>
  <si>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</si>
  <si>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</si>
  <si>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</si>
  <si>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</si>
  <si>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</si>
  <si>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</si>
  <si>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</si>
  <si>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</si>
  <si>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</si>
  <si>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</si>
  <si>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</si>
  <si>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</si>
  <si>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</si>
  <si>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</si>
  <si>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</si>
  <si>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</si>
  <si>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</si>
  <si>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</si>
  <si>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</si>
  <si>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</si>
  <si>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</si>
  <si>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</si>
  <si>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</si>
  <si>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</si>
  <si>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</si>
  <si>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</si>
  <si>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</si>
  <si>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</si>
  <si>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</si>
  <si>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</si>
  <si>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</si>
  <si>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</si>
  <si>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</si>
  <si>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</si>
  <si>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</si>
  <si>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</si>
  <si>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</si>
  <si>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</si>
  <si>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</si>
  <si>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</si>
  <si>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</si>
  <si>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</si>
  <si>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</si>
  <si>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</si>
  <si>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</si>
  <si>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</si>
  <si>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</si>
  <si>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</si>
  <si>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</si>
  <si>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</si>
  <si>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</si>
  <si>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</si>
  <si>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</si>
  <si>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</si>
  <si>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</si>
  <si>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</si>
  <si>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</si>
  <si>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</si>
  <si>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</si>
  <si>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</si>
  <si>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</si>
  <si>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</si>
  <si>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</si>
  <si>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</si>
  <si>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</si>
  <si>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</si>
  <si>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</si>
  <si>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</si>
  <si>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</si>
  <si>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</si>
  <si>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</si>
  <si>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</si>
  <si>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</si>
  <si>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</si>
  <si>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</si>
  <si>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</si>
  <si>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</si>
  <si>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</si>
  <si>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</si>
  <si>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</si>
  <si>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</si>
  <si>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</si>
  <si>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</si>
  <si>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</si>
  <si>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</si>
  <si>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</si>
  <si>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</si>
  <si>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</si>
  <si>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</si>
  <si>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</si>
  <si>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</si>
  <si>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</si>
  <si>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</si>
  <si>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</si>
  <si>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</si>
  <si>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</si>
  <si>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</si>
  <si>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</si>
  <si>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</si>
  <si>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</si>
  <si>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</si>
  <si>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</si>
  <si>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</si>
  <si>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</si>
  <si>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</si>
  <si>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</si>
  <si>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</si>
  <si>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</si>
  <si>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</si>
  <si>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</si>
  <si>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</si>
  <si>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</si>
  <si>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</si>
  <si>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</si>
  <si>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</si>
  <si>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</si>
  <si>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</si>
  <si>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</si>
  <si>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</si>
  <si>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</si>
  <si>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</si>
  <si>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</si>
  <si>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</si>
  <si>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</si>
  <si>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</si>
  <si>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</si>
  <si>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</si>
  <si>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</si>
  <si>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</si>
  <si>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</si>
  <si>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</si>
  <si>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</si>
  <si>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</si>
  <si>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</si>
  <si>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</si>
  <si>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</si>
  <si>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</si>
  <si>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</si>
  <si>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</si>
  <si>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</si>
  <si>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</si>
  <si>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</si>
  <si>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</si>
  <si>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</si>
  <si>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</si>
  <si>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</si>
  <si>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</si>
  <si>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</si>
  <si>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</si>
  <si>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</si>
  <si>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</si>
  <si>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</si>
  <si>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</si>
  <si>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</si>
  <si>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</si>
  <si>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</si>
  <si>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</si>
  <si>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</si>
  <si>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</si>
  <si>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</si>
  <si>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</si>
  <si>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</si>
  <si>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</si>
  <si>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</si>
  <si>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</si>
  <si>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</si>
  <si>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</si>
  <si>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</si>
  <si>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</si>
  <si>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</si>
  <si>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</si>
  <si>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</si>
  <si>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</si>
  <si>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</si>
  <si>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</si>
  <si>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</si>
  <si>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</si>
  <si>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</si>
  <si>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</si>
  <si>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</si>
  <si>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</si>
  <si>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</si>
  <si>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</si>
  <si>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</si>
  <si>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</si>
  <si>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</si>
  <si>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</si>
  <si>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</si>
  <si>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</si>
  <si>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</si>
  <si>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</si>
  <si>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</si>
  <si>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</si>
  <si>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</si>
  <si>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</si>
  <si>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</si>
  <si>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</si>
  <si>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</si>
  <si>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</si>
  <si>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</si>
  <si>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</si>
  <si>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</si>
  <si>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</si>
  <si>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</si>
  <si>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</si>
  <si>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</si>
  <si>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</si>
  <si>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</si>
  <si>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</si>
  <si>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</si>
  <si>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</si>
  <si>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</si>
  <si>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</si>
  <si>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</si>
  <si>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</si>
  <si>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</si>
  <si>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</si>
  <si>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</si>
  <si>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</si>
  <si>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</si>
  <si>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</si>
  <si>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</si>
  <si>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</si>
  <si>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</si>
  <si>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</si>
  <si>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</si>
  <si>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</si>
  <si>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</si>
  <si>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</si>
  <si>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</si>
  <si>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</si>
  <si>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</si>
  <si>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</si>
  <si>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</si>
  <si>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</si>
  <si>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</si>
  <si>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</si>
  <si>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</si>
  <si>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</si>
  <si>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</si>
  <si>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</si>
  <si>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</si>
  <si>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</si>
  <si>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</si>
  <si>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</si>
  <si>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</si>
  <si>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</si>
  <si>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</si>
  <si>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</si>
  <si>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</si>
  <si>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</si>
  <si>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</si>
  <si>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</si>
  <si>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</si>
  <si>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</si>
  <si>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</si>
  <si>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</si>
  <si>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</si>
  <si>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</si>
  <si>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</si>
  <si>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</si>
  <si>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</si>
  <si>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</si>
  <si>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</si>
  <si>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</si>
  <si>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</si>
  <si>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</si>
  <si>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</si>
  <si>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</si>
  <si>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</si>
  <si>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</si>
  <si>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</si>
  <si>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</si>
  <si>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</si>
  <si>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</si>
  <si>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</si>
  <si>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</si>
  <si>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</si>
  <si>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</si>
  <si>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</si>
  <si>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</si>
  <si>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</si>
  <si>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</si>
  <si>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</si>
  <si>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</si>
  <si>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</si>
  <si>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</si>
  <si>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</si>
  <si>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</si>
  <si>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</si>
  <si>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</si>
  <si>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</si>
  <si>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</si>
  <si>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</si>
  <si>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</si>
  <si>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</si>
  <si>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</si>
  <si>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</si>
  <si>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</si>
  <si>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</si>
  <si>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</si>
  <si>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</si>
  <si>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</si>
  <si>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</si>
  <si>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</si>
  <si>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</si>
  <si>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</si>
  <si>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</si>
  <si>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</si>
  <si>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</si>
  <si>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</si>
  <si>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</si>
  <si>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</si>
  <si>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</si>
  <si>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</si>
  <si>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</si>
  <si>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</si>
  <si>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</si>
  <si>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</si>
  <si>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</si>
  <si>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</si>
  <si>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</si>
  <si>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</si>
  <si>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</si>
  <si>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</si>
  <si>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</si>
  <si>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</si>
  <si>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</si>
  <si>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</si>
  <si>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</si>
  <si>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</si>
  <si>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</si>
  <si>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</si>
  <si>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</si>
  <si>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</si>
  <si>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</si>
  <si>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</si>
  <si>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</si>
  <si>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</si>
  <si>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</si>
  <si>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</si>
  <si>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</si>
  <si>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</si>
  <si>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</si>
  <si>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</si>
  <si>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</si>
  <si>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</si>
  <si>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</si>
  <si>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</si>
  <si>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</si>
  <si>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</si>
  <si>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</si>
  <si>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</si>
  <si>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</si>
  <si>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</si>
  <si>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</si>
  <si>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</si>
  <si>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</si>
  <si>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</si>
  <si>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</si>
  <si>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</si>
  <si>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</si>
  <si>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</si>
  <si>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</si>
  <si>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</si>
  <si>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</si>
  <si>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</si>
  <si>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</si>
  <si>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</si>
  <si>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</si>
  <si>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</si>
  <si>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</si>
  <si>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</si>
  <si>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</si>
  <si>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</si>
  <si>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</si>
  <si>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</si>
  <si>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</si>
  <si>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</si>
  <si>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</si>
  <si>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</si>
  <si>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</si>
  <si>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</si>
  <si>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</si>
  <si>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</si>
  <si>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</si>
  <si>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</si>
  <si>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</si>
  <si>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</si>
  <si>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</si>
  <si>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</si>
  <si>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</si>
  <si>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</si>
  <si>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</si>
  <si>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</si>
  <si>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</si>
  <si>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</si>
  <si>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</si>
  <si>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</si>
  <si>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</si>
  <si>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</si>
  <si>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</si>
  <si>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</si>
  <si>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</si>
  <si>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</si>
  <si>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</si>
  <si>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</si>
  <si>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</si>
  <si>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</si>
  <si>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</si>
  <si>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</si>
  <si>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</si>
  <si>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</si>
  <si>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</si>
  <si>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</si>
  <si>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</si>
  <si>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</si>
  <si>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</si>
  <si>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</si>
  <si>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</si>
  <si>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</si>
  <si>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</si>
  <si>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</si>
  <si>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</si>
  <si>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</si>
  <si>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</si>
  <si>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</si>
  <si>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</si>
  <si>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</si>
  <si>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</si>
  <si>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</si>
  <si>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</si>
  <si>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</si>
  <si>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</si>
  <si>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</si>
  <si>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</si>
  <si>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</si>
  <si>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</si>
  <si>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</si>
  <si>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</si>
  <si>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</si>
  <si>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</si>
  <si>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</si>
  <si>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</si>
  <si>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</si>
  <si>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</si>
  <si>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</si>
  <si>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</si>
  <si>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</si>
  <si>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</si>
  <si>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</si>
  <si>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</si>
  <si>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</si>
  <si>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</si>
  <si>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</si>
  <si>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</si>
  <si>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</si>
  <si>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</si>
  <si>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</si>
  <si>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</si>
  <si>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</si>
  <si>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</si>
  <si>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</si>
  <si>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</si>
  <si>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</si>
  <si>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</si>
  <si>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</si>
  <si>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</si>
  <si>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</si>
  <si>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</si>
  <si>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</si>
  <si>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</si>
  <si>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</si>
  <si>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</si>
  <si>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</si>
  <si>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</si>
  <si>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</si>
  <si>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</si>
  <si>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</si>
  <si>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</si>
  <si>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</si>
  <si>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</si>
  <si>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</si>
  <si>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</si>
  <si>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</si>
  <si>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</si>
  <si>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</si>
  <si>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</si>
  <si>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</si>
  <si>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</si>
  <si>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</si>
  <si>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</si>
  <si>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</si>
  <si>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</si>
  <si>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</si>
  <si>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</si>
  <si>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</si>
  <si>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</si>
  <si>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</si>
  <si>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</si>
  <si>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</si>
  <si>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</si>
  <si>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</si>
  <si>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</si>
  <si>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</si>
  <si>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</si>
  <si>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</si>
  <si>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</si>
  <si>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</si>
  <si>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</si>
  <si>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</si>
  <si>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</si>
  <si>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</si>
  <si>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</si>
  <si>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</si>
  <si>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</si>
  <si>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</si>
  <si>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</si>
  <si>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</si>
  <si>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</si>
  <si>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</si>
  <si>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</si>
  <si>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</si>
  <si>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</si>
  <si>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</si>
  <si>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</si>
  <si>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</si>
  <si>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</si>
  <si>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</si>
  <si>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</si>
  <si>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</si>
  <si>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</si>
  <si>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</si>
  <si>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</si>
  <si>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</si>
  <si>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</si>
  <si>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</si>
  <si>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</si>
  <si>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</si>
  <si>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</si>
  <si>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</si>
  <si>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</si>
  <si>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</si>
  <si>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</si>
  <si>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</si>
  <si>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</si>
  <si>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</si>
  <si>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</si>
  <si>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</si>
  <si>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</si>
  <si>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</si>
  <si>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</si>
  <si>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</si>
  <si>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</si>
  <si>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</si>
  <si>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</si>
  <si>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</si>
  <si>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</si>
  <si>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</si>
  <si>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</si>
  <si>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</si>
  <si>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</si>
  <si>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</si>
  <si>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</si>
  <si>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</si>
  <si>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</si>
  <si>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</si>
  <si>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</si>
  <si>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</si>
  <si>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</si>
  <si>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</si>
  <si>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</si>
  <si>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</si>
  <si>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</si>
  <si>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</si>
  <si>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</si>
  <si>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</si>
  <si>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</si>
  <si>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</si>
  <si>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</si>
  <si>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</si>
  <si>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</si>
  <si>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</si>
  <si>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</si>
  <si>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</si>
  <si>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</si>
  <si>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</si>
  <si>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</si>
  <si>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</si>
  <si>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</si>
  <si>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</si>
  <si>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</si>
  <si>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</si>
  <si>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</si>
  <si>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</si>
  <si>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</si>
  <si>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</si>
  <si>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</si>
  <si>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</si>
  <si>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</si>
  <si>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</si>
  <si>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</si>
  <si>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</si>
  <si>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</si>
  <si>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</si>
  <si>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</si>
  <si>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</si>
  <si>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</si>
  <si>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</si>
  <si>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</si>
  <si>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</si>
  <si>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</si>
  <si>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</si>
  <si>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</si>
  <si>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</si>
  <si>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</si>
  <si>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</si>
  <si>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</si>
  <si>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</si>
  <si>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</si>
  <si>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</si>
  <si>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</si>
  <si>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</si>
  <si>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</si>
  <si>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</si>
  <si>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</si>
  <si>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</si>
  <si>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</si>
  <si>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</si>
  <si>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</si>
  <si>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</si>
  <si>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</si>
  <si>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</si>
  <si>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</si>
  <si>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</si>
  <si>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</si>
  <si>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</si>
  <si>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</si>
  <si>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</si>
  <si>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</si>
  <si>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</si>
  <si>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</si>
  <si>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</si>
  <si>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</si>
  <si>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</si>
  <si>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</si>
  <si>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</si>
  <si>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</si>
  <si>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</si>
  <si>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</si>
  <si>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</si>
  <si>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</si>
  <si>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</si>
  <si>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</si>
  <si>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</si>
  <si>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</si>
  <si>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</si>
  <si>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</si>
  <si>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</si>
  <si>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</si>
  <si>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</si>
  <si>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</si>
  <si>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</si>
  <si>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</si>
  <si>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</si>
  <si>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</si>
  <si>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</si>
  <si>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</si>
  <si>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</si>
  <si>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</si>
  <si>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</si>
  <si>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</si>
  <si>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</si>
  <si>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</si>
  <si>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</si>
  <si>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</si>
  <si>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</si>
  <si>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</si>
  <si>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</si>
  <si>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</si>
  <si>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</si>
  <si>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</si>
  <si>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</si>
  <si>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</si>
  <si>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</si>
  <si>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</si>
  <si>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</si>
  <si>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</si>
  <si>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</si>
  <si>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</si>
  <si>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</si>
  <si>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</si>
  <si>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</si>
  <si>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</si>
  <si>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</si>
  <si>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</si>
  <si>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</si>
  <si>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</si>
  <si>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</si>
  <si>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</si>
  <si>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</si>
  <si>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</si>
  <si>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</si>
  <si>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</si>
  <si>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</si>
  <si>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</si>
  <si>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</si>
  <si>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</si>
  <si>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</si>
  <si>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</si>
  <si>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</si>
  <si>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</si>
  <si>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</si>
  <si>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</si>
  <si>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</si>
  <si>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</si>
  <si>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</si>
  <si>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</si>
  <si>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</si>
  <si>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</si>
  <si>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</si>
  <si>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</si>
  <si>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</si>
  <si>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</si>
  <si>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</si>
  <si>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</si>
  <si>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</si>
  <si>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</si>
  <si>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</si>
  <si>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</si>
  <si>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</si>
  <si>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</si>
  <si>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</si>
  <si>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</si>
  <si>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</si>
  <si>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</si>
  <si>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</si>
  <si>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</si>
  <si>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</si>
  <si>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</si>
  <si>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</si>
  <si>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</si>
  <si>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</si>
  <si>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</si>
  <si>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</si>
  <si>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</si>
  <si>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</si>
  <si>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</si>
  <si>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</si>
  <si>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</si>
  <si>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</si>
  <si>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</si>
  <si>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</si>
  <si>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</si>
  <si>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</si>
  <si>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</si>
  <si>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</si>
  <si>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</si>
  <si>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</si>
  <si>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</si>
  <si>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</si>
  <si>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</si>
  <si>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</si>
  <si>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</si>
  <si>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</si>
  <si>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</si>
  <si>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</si>
  <si>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</si>
  <si>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</si>
  <si>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</si>
  <si>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</si>
  <si>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</si>
  <si>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</si>
  <si>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</si>
  <si>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</si>
  <si>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</si>
  <si>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</si>
  <si>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</si>
  <si>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</si>
  <si>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</si>
  <si>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</si>
  <si>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</si>
  <si>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</si>
  <si>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</si>
  <si>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</si>
  <si>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</si>
  <si>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</si>
  <si>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</si>
  <si>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</si>
  <si>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</si>
  <si>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</si>
  <si>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</si>
  <si>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</si>
  <si>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</si>
  <si>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</si>
  <si>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</si>
  <si>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</si>
  <si>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</si>
  <si>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</si>
  <si>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</si>
  <si>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</si>
  <si>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</si>
  <si>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</si>
  <si>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</si>
  <si>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</si>
  <si>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</si>
  <si>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</si>
  <si>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</si>
  <si>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</si>
  <si>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</si>
  <si>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</si>
  <si>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</si>
  <si>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</si>
  <si>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</si>
  <si>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</si>
  <si>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</si>
  <si>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</si>
  <si>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</si>
  <si>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</si>
  <si>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</si>
  <si>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</si>
  <si>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</si>
  <si>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</si>
  <si>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</si>
  <si>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</si>
  <si>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</si>
  <si>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</si>
  <si>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</si>
  <si>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</si>
  <si>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</si>
  <si>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</si>
  <si>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</si>
  <si>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</si>
  <si>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</si>
  <si>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</si>
  <si>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</si>
  <si>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</si>
  <si>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</si>
  <si>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</si>
  <si>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</si>
  <si>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</si>
  <si>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</si>
  <si>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</si>
  <si>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</si>
  <si>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</si>
  <si>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</si>
  <si>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</si>
  <si>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</si>
  <si>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</si>
  <si>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</si>
  <si>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</si>
  <si>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</si>
  <si>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</si>
  <si>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</si>
  <si>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</si>
  <si>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</si>
  <si>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</si>
  <si>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</si>
  <si>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</si>
  <si>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</si>
  <si>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</si>
  <si>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</si>
  <si>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</si>
  <si>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</si>
  <si>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</si>
  <si>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</si>
  <si>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</si>
  <si>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</si>
  <si>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</si>
  <si>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</si>
  <si>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</si>
  <si>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</si>
  <si>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</si>
  <si>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</si>
  <si>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</si>
  <si>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</si>
  <si>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</si>
  <si>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</si>
  <si>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</si>
  <si>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</si>
  <si>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</si>
  <si>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</si>
  <si>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</si>
  <si>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</si>
  <si>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</si>
  <si>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</si>
  <si>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</si>
  <si>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</si>
  <si>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</si>
  <si>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</si>
  <si>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</si>
  <si>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</si>
  <si>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</si>
  <si>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</si>
  <si>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</si>
  <si>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</si>
  <si>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</si>
  <si>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</si>
  <si>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</si>
  <si>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</si>
  <si>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</si>
  <si>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</si>
  <si>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</si>
  <si>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</si>
  <si>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</si>
  <si>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</si>
  <si>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</si>
  <si>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</si>
  <si>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</si>
  <si>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</si>
  <si>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</si>
  <si>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</si>
  <si>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</si>
  <si>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</si>
  <si>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</si>
  <si>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</si>
  <si>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</si>
  <si>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</si>
  <si>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</si>
  <si>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</si>
  <si>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</si>
  <si>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</si>
  <si>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</si>
  <si>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</si>
  <si>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</si>
  <si>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</si>
  <si>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</si>
  <si>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</si>
  <si>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</si>
  <si>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</si>
  <si>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</si>
  <si>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</si>
  <si>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</si>
  <si>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</si>
  <si>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</si>
  <si>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</si>
  <si>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</si>
  <si>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</si>
  <si>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</si>
  <si>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</si>
  <si>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</si>
  <si>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</si>
  <si>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</si>
  <si>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</si>
  <si>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</si>
  <si>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</si>
  <si>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</si>
  <si>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</si>
  <si>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</si>
  <si>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</si>
  <si>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</si>
  <si>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</si>
  <si>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</si>
  <si>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</si>
  <si>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</si>
  <si>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</si>
  <si>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</si>
  <si>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</si>
  <si>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</si>
  <si>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</si>
  <si>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</si>
  <si>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</si>
  <si>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</si>
  <si>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</si>
  <si>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</si>
  <si>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</si>
  <si>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</si>
  <si>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</si>
  <si>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</si>
  <si>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</si>
  <si>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</si>
  <si>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</si>
  <si>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</si>
  <si>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</si>
  <si>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</si>
  <si>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</si>
  <si>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</si>
  <si>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</si>
  <si>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</si>
  <si>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</si>
  <si>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</si>
  <si>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</si>
  <si>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</si>
  <si>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</si>
  <si>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</si>
  <si>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</si>
  <si>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</si>
  <si>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</si>
  <si>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</si>
  <si>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</si>
  <si>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</si>
  <si>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</si>
  <si>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</si>
  <si>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</si>
  <si>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</si>
  <si>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</si>
  <si>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</si>
  <si>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</si>
  <si>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</si>
  <si>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</si>
  <si>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</si>
  <si>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</si>
  <si>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</si>
  <si>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</si>
  <si>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</si>
  <si>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</si>
  <si>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</si>
  <si>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</si>
  <si>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</si>
  <si>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</si>
  <si>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</si>
  <si>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</si>
  <si>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</si>
  <si>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</si>
  <si>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</si>
  <si>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</si>
  <si>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</si>
  <si>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</si>
  <si>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</si>
  <si>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</si>
  <si>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</si>
  <si>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</si>
  <si>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</si>
  <si>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</si>
  <si>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</si>
  <si>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</si>
  <si>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</si>
  <si>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</si>
  <si>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</si>
  <si>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</si>
  <si>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</si>
  <si>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</si>
  <si>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</si>
  <si>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</si>
  <si>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</si>
  <si>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</si>
  <si>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</si>
  <si>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</si>
  <si>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</si>
  <si>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</si>
  <si>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</si>
  <si>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</si>
  <si>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</si>
  <si>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</si>
  <si>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</si>
  <si>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</si>
  <si>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</si>
  <si>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</si>
  <si>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</si>
  <si>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</si>
  <si>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</si>
  <si>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</si>
  <si>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</si>
  <si>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</si>
  <si>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</si>
  <si>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</si>
  <si>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</si>
  <si>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</si>
  <si>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</si>
  <si>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</si>
  <si>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</si>
  <si>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</si>
  <si>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</si>
  <si>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</si>
  <si>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</si>
  <si>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</si>
  <si>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</si>
  <si>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</si>
  <si>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</si>
  <si>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</si>
  <si>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</si>
  <si>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</si>
  <si>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</si>
  <si>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</si>
  <si>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</si>
  <si>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</si>
  <si>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</si>
  <si>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</si>
  <si>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</si>
  <si>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</si>
  <si>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</si>
  <si>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</si>
  <si>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</si>
  <si>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</si>
  <si>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</si>
  <si>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</si>
  <si>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</si>
  <si>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</si>
  <si>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</si>
  <si>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</si>
  <si>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</si>
  <si>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</si>
  <si>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</si>
  <si>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</si>
  <si>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</si>
  <si>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</si>
  <si>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</si>
  <si>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</si>
  <si>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</si>
  <si>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</si>
  <si>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</si>
  <si>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</si>
  <si>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</si>
  <si>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</si>
  <si>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</si>
  <si>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</si>
  <si>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</si>
  <si>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</si>
  <si>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</si>
  <si>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</si>
  <si>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</si>
  <si>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</si>
  <si>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</si>
  <si>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</si>
  <si>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</si>
  <si>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</si>
  <si>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</si>
  <si>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</si>
  <si>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</si>
  <si>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</si>
  <si>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</si>
  <si>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</si>
  <si>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</si>
  <si>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</si>
  <si>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</si>
  <si>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</si>
  <si>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</si>
  <si>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</si>
  <si>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</si>
  <si>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</si>
  <si>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</si>
  <si>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</si>
  <si>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</si>
  <si>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</si>
  <si>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</si>
  <si>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</si>
  <si>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</si>
  <si>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</si>
  <si>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</si>
  <si>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</si>
  <si>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</si>
  <si>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</si>
  <si>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</si>
  <si>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</si>
  <si>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</si>
  <si>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</si>
  <si>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</si>
  <si>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</si>
  <si>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</si>
  <si>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</si>
  <si>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</si>
  <si>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</si>
  <si>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</si>
  <si>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</si>
  <si>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</si>
  <si>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</si>
  <si>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</si>
  <si>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</si>
  <si>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</si>
  <si>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</si>
  <si>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</si>
  <si>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</si>
  <si>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</si>
  <si>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</si>
  <si>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</si>
  <si>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</si>
  <si>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</si>
  <si>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</si>
  <si>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</si>
  <si>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</si>
  <si>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</si>
  <si>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</si>
  <si>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</si>
  <si>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</si>
  <si>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</si>
  <si>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</si>
  <si>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</si>
  <si>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</si>
  <si>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</si>
  <si>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</si>
  <si>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</si>
  <si>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</si>
  <si>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</si>
  <si>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</si>
  <si>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</si>
  <si>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</si>
  <si>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</si>
  <si>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</si>
  <si>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</si>
  <si>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</si>
  <si>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</si>
  <si>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</si>
  <si>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</si>
  <si>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</si>
  <si>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</si>
  <si>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</si>
  <si>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</si>
  <si>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</si>
  <si>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</si>
  <si>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</si>
  <si>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</si>
  <si>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</si>
  <si>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</si>
  <si>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</si>
  <si>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</si>
  <si>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</si>
  <si>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</si>
  <si>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</si>
  <si>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</si>
  <si>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</si>
  <si>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</si>
  <si>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</si>
  <si>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</si>
  <si>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</si>
  <si>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</si>
  <si>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</si>
  <si>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</si>
  <si>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</si>
  <si>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</si>
  <si>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</si>
  <si>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</si>
  <si>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</si>
  <si>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</si>
  <si>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</si>
  <si>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</si>
  <si>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</si>
  <si>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</si>
  <si>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</si>
  <si>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</si>
  <si>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</si>
  <si>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</si>
  <si>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</si>
  <si>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</si>
  <si>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</si>
  <si>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</si>
  <si>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</si>
  <si>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</si>
  <si>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</si>
  <si>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</si>
  <si>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</si>
  <si>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</si>
  <si>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</si>
  <si>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</si>
  <si>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</si>
  <si>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</si>
  <si>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</si>
  <si>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</si>
  <si>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</si>
  <si>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</si>
  <si>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</si>
  <si>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</si>
  <si>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</si>
  <si>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</si>
  <si>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</si>
  <si>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</si>
  <si>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</si>
  <si>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</si>
  <si>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</si>
  <si>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</si>
  <si>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</si>
  <si>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</si>
  <si>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</si>
  <si>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</si>
  <si>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</si>
  <si>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</si>
  <si>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</si>
  <si>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</si>
  <si>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</si>
  <si>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</si>
  <si>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</si>
  <si>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</si>
  <si>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</si>
  <si>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</si>
  <si>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</si>
  <si>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</si>
  <si>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</si>
  <si>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</si>
  <si>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</si>
  <si>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</si>
  <si>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</si>
  <si>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</si>
  <si>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</si>
  <si>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</si>
  <si>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</si>
  <si>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</si>
  <si>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</si>
  <si>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</si>
  <si>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</si>
  <si>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</si>
  <si>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</si>
  <si>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</si>
  <si>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</si>
  <si>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</si>
  <si>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</si>
  <si>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</si>
  <si>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</si>
  <si>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</si>
  <si>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</si>
  <si>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</si>
  <si>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</si>
  <si>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</si>
  <si>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</si>
  <si>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</si>
  <si>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</si>
  <si>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</si>
  <si>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</si>
  <si>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</si>
  <si>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</si>
  <si>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</si>
  <si>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</si>
  <si>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</si>
  <si>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</si>
  <si>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</si>
  <si>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</si>
  <si>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</si>
  <si>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</si>
  <si>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</si>
  <si>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</si>
  <si>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</si>
  <si>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</si>
  <si>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</si>
  <si>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</si>
  <si>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</si>
  <si>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</si>
  <si>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</si>
  <si>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</si>
  <si>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</si>
  <si>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</si>
  <si>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</si>
  <si>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</si>
  <si>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</si>
  <si>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</si>
  <si>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</si>
  <si>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</si>
  <si>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</si>
  <si>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</si>
  <si>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</si>
  <si>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</si>
  <si>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</si>
  <si>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</si>
  <si>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</si>
  <si>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</si>
  <si>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</si>
  <si>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</si>
  <si>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</si>
  <si>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</si>
  <si>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</si>
  <si>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</si>
  <si>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</si>
  <si>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</si>
  <si>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</si>
  <si>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</si>
  <si>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</si>
  <si>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</si>
  <si>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</si>
  <si>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</si>
  <si>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</si>
  <si>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</si>
  <si>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</si>
  <si>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</si>
  <si>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</si>
  <si>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</si>
  <si>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</si>
  <si>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</si>
  <si>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</si>
  <si>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</si>
  <si>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</si>
  <si>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</si>
  <si>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</si>
  <si>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</si>
  <si>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</si>
  <si>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</si>
  <si>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</si>
  <si>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</si>
  <si>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</si>
  <si>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</si>
  <si>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</si>
  <si>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</si>
  <si>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</si>
  <si>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</si>
  <si>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</si>
  <si>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</si>
  <si>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</si>
  <si>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</si>
  <si>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</si>
  <si>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</si>
  <si>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</si>
  <si>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</si>
  <si>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</si>
  <si>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</si>
  <si>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</si>
  <si>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</si>
  <si>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</si>
  <si>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</si>
  <si>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</si>
  <si>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</si>
  <si>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</si>
  <si>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</si>
  <si>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</si>
  <si>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</si>
  <si>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</si>
  <si>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</si>
  <si>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</si>
  <si>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</si>
  <si>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</si>
  <si>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</si>
  <si>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</si>
  <si>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</si>
  <si>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</si>
  <si>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</si>
  <si>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</si>
  <si>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</si>
  <si>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</si>
  <si>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</si>
  <si>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</si>
  <si>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</si>
  <si>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</si>
  <si>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</si>
  <si>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</si>
  <si>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</si>
  <si>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</si>
  <si>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</si>
  <si>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</si>
  <si>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</si>
  <si>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</si>
  <si>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</si>
  <si>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</si>
  <si>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</si>
  <si>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</si>
  <si>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</si>
  <si>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</si>
  <si>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</si>
  <si>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</si>
  <si>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</si>
  <si>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</si>
  <si>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</si>
  <si>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</si>
  <si>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</si>
  <si>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</si>
  <si>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</si>
  <si>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</si>
  <si>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</si>
  <si>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</si>
  <si>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</si>
  <si>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</si>
  <si>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</si>
  <si>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</si>
  <si>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</si>
  <si>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</si>
  <si>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</si>
  <si>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</si>
  <si>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</si>
  <si>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</si>
  <si>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</si>
  <si>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</si>
  <si>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</si>
  <si>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</si>
  <si>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</si>
  <si>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</si>
  <si>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</si>
  <si>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</si>
  <si>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</si>
  <si>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</si>
  <si>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</si>
  <si>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</si>
  <si>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</si>
  <si>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</si>
  <si>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</si>
  <si>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</si>
  <si>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</si>
  <si>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</si>
  <si>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</si>
  <si>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</si>
  <si>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</si>
  <si>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</si>
  <si>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</si>
  <si>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</si>
  <si>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</si>
  <si>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</si>
  <si>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</si>
  <si>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</si>
  <si>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</si>
  <si>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</si>
  <si>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</si>
  <si>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</si>
  <si>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</si>
  <si>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</si>
  <si>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</si>
  <si>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</si>
  <si>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</si>
  <si>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</si>
  <si>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</si>
  <si>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</si>
  <si>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</si>
  <si>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</si>
  <si>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</si>
  <si>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</si>
  <si>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</si>
  <si>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</si>
  <si>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</si>
  <si>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</si>
  <si>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</si>
  <si>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</si>
  <si>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</si>
  <si>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</si>
  <si>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</si>
  <si>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</si>
  <si>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</si>
  <si>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</si>
  <si>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</si>
  <si>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</si>
  <si>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</si>
  <si>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</si>
  <si>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</si>
  <si>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</si>
  <si>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</si>
  <si>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</si>
  <si>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</si>
  <si>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</si>
  <si>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</si>
  <si>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</si>
  <si>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</si>
  <si>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</si>
  <si>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</si>
  <si>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</si>
  <si>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</si>
  <si>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</si>
  <si>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</si>
  <si>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</si>
  <si>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</si>
  <si>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</si>
  <si>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</si>
  <si>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</si>
  <si>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</si>
  <si>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</si>
  <si>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</si>
  <si>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</si>
  <si>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</si>
  <si>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</si>
  <si>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</si>
  <si>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</si>
  <si>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</si>
  <si>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</si>
  <si>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</si>
  <si>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</si>
  <si>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</si>
  <si>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</si>
  <si>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</si>
  <si>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</si>
  <si>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</si>
  <si>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</si>
  <si>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</si>
  <si>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</si>
  <si>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</si>
  <si>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</si>
  <si>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</si>
  <si>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</si>
  <si>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</si>
  <si>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</si>
  <si>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</si>
  <si>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</si>
  <si>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</si>
  <si>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</si>
  <si>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</si>
  <si>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</si>
  <si>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</si>
  <si>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</si>
  <si>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</si>
  <si>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</si>
  <si>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</si>
  <si>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</si>
  <si>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</si>
  <si>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</si>
  <si>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</si>
  <si>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</si>
  <si>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</si>
  <si>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</si>
  <si>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</si>
  <si>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</si>
  <si>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</si>
  <si>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</si>
  <si>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</si>
  <si>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</si>
  <si>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</si>
  <si>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</si>
  <si>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</si>
  <si>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</si>
  <si>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</si>
  <si>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</si>
  <si>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</si>
  <si>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</si>
  <si>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</si>
  <si>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</si>
  <si>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</si>
  <si>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</si>
  <si>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</si>
  <si>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</si>
  <si>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</si>
  <si>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</si>
  <si>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</si>
  <si>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</si>
  <si>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</si>
  <si>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</si>
  <si>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</si>
  <si>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</si>
  <si>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</si>
  <si>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</si>
  <si>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</si>
  <si>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</si>
  <si>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</si>
  <si>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</si>
  <si>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</si>
  <si>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</si>
  <si>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</si>
  <si>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</si>
  <si>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</si>
  <si>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</si>
  <si>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</si>
  <si>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</si>
  <si>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</si>
  <si>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</si>
  <si>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</si>
  <si>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</si>
  <si>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</si>
  <si>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</si>
  <si>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</si>
  <si>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</si>
  <si>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</si>
  <si>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</si>
  <si>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</si>
  <si>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</si>
  <si>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</si>
  <si>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</si>
  <si>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</si>
  <si>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</si>
  <si>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</si>
  <si>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</si>
  <si>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</si>
  <si>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</si>
  <si>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</si>
  <si>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</si>
  <si>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</si>
  <si>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</si>
  <si>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</si>
  <si>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</si>
  <si>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</si>
  <si>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</si>
  <si>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</si>
  <si>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</si>
  <si>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</si>
  <si>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</si>
  <si>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</si>
  <si>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</si>
  <si>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</si>
  <si>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</si>
  <si>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</si>
  <si>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</si>
  <si>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</si>
  <si>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</si>
  <si>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</si>
  <si>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</si>
  <si>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</si>
  <si>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</si>
  <si>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</si>
  <si>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</si>
  <si>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</si>
  <si>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</si>
  <si>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</si>
  <si>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</si>
  <si>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</si>
  <si>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</si>
  <si>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</si>
  <si>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</si>
  <si>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</si>
  <si>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</si>
  <si>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</si>
  <si>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</si>
  <si>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</si>
  <si>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</si>
  <si>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</si>
  <si>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</si>
  <si>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</si>
  <si>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</si>
  <si>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</si>
  <si>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</si>
  <si>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</si>
  <si>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</si>
  <si>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</si>
  <si>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</si>
  <si>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</si>
  <si>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</si>
  <si>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</si>
  <si>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</si>
  <si>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</si>
  <si>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</si>
  <si>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</si>
  <si>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</si>
  <si>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</si>
  <si>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</si>
  <si>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</si>
  <si>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</si>
  <si>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</si>
  <si>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</si>
  <si>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</si>
  <si>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</si>
  <si>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</si>
  <si>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</si>
  <si>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</si>
  <si>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</si>
  <si>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</si>
  <si>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</si>
  <si>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</si>
  <si>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</si>
  <si>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</si>
  <si>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</si>
  <si>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</si>
  <si>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</si>
  <si>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</si>
  <si>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</si>
  <si>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</si>
  <si>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</si>
  <si>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</si>
  <si>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</si>
  <si>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</si>
  <si>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</si>
  <si>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</si>
  <si>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</si>
  <si>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</si>
  <si>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</si>
  <si>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</si>
  <si>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</si>
  <si>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</si>
  <si>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</si>
  <si>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</si>
  <si>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</si>
  <si>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</si>
  <si>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</si>
  <si>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</si>
  <si>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</si>
  <si>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</si>
  <si>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</si>
  <si>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</si>
  <si>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</si>
  <si>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</si>
  <si>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</si>
  <si>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</si>
  <si>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</si>
  <si>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</si>
  <si>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</si>
  <si>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</si>
  <si>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</si>
  <si>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</si>
  <si>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</si>
  <si>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</si>
  <si>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</si>
  <si>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</si>
  <si>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</si>
  <si>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</si>
  <si>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</si>
  <si>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</si>
  <si>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</si>
  <si>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</si>
  <si>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</si>
  <si>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</si>
  <si>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</si>
  <si>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</si>
  <si>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</si>
  <si>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</si>
  <si>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</si>
  <si>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</si>
  <si>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</si>
  <si>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</si>
  <si>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</si>
  <si>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</si>
  <si>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</si>
  <si>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</si>
  <si>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</si>
  <si>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</si>
  <si>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</si>
  <si>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</si>
  <si>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</si>
  <si>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</si>
  <si>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</si>
  <si>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</si>
  <si>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</si>
  <si>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</si>
  <si>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</si>
  <si>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</si>
  <si>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</si>
  <si>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</si>
  <si>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</si>
  <si>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</si>
  <si>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</si>
  <si>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</si>
  <si>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</si>
  <si>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</si>
  <si>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</si>
  <si>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</si>
  <si>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</si>
  <si>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</si>
  <si>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</si>
  <si>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</si>
  <si>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</si>
  <si>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</si>
  <si>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</si>
  <si>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</si>
  <si>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</si>
  <si>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</si>
  <si>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</si>
  <si>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</si>
  <si>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</si>
  <si>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</si>
  <si>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</si>
  <si>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</si>
  <si>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</si>
  <si>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</si>
  <si>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</si>
  <si>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</si>
  <si>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</si>
  <si>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</si>
  <si>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</si>
  <si>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</si>
  <si>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</si>
  <si>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</si>
  <si>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</si>
  <si>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</si>
  <si>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</si>
  <si>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</si>
  <si>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</si>
  <si>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</si>
  <si>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</si>
  <si>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</si>
  <si>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</si>
  <si>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</si>
  <si>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</si>
  <si>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</si>
  <si>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</si>
  <si>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</si>
  <si>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</si>
  <si>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</si>
  <si>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</si>
  <si>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</si>
  <si>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</si>
  <si>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</si>
  <si>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</si>
  <si>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</si>
  <si>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</si>
  <si>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</si>
  <si>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</si>
  <si>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</si>
  <si>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</si>
  <si>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</si>
  <si>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</si>
  <si>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</si>
  <si>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</si>
  <si>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</si>
  <si>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</si>
  <si>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</si>
  <si>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</si>
  <si>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</si>
  <si>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</si>
  <si>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</si>
  <si>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</si>
  <si>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</si>
  <si>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</si>
  <si>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</si>
  <si>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</si>
  <si>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</si>
  <si>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</si>
  <si>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</si>
  <si>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</si>
  <si>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</si>
  <si>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</si>
  <si>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</si>
  <si>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</si>
  <si>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</si>
  <si>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</si>
  <si>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</si>
  <si>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</si>
  <si>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</si>
  <si>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</si>
  <si>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</si>
  <si>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</si>
  <si>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</si>
  <si>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</si>
  <si>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</si>
  <si>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</si>
  <si>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</si>
  <si>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</si>
  <si>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</si>
  <si>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</si>
  <si>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</si>
  <si>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</si>
  <si>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</si>
  <si>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</si>
  <si>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</si>
  <si>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</si>
  <si>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</si>
  <si>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</si>
  <si>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</si>
  <si>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</si>
  <si>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</si>
  <si>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</si>
  <si>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</si>
  <si>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</si>
  <si>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</si>
  <si>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</si>
  <si>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</si>
  <si>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</si>
  <si>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</si>
  <si>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</si>
  <si>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</si>
  <si>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</si>
  <si>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</si>
  <si>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</si>
  <si>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</si>
  <si>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</si>
  <si>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</si>
  <si>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</si>
  <si>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</si>
  <si>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</si>
  <si>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</si>
  <si>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</si>
  <si>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</si>
  <si>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</si>
  <si>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</si>
  <si>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</si>
  <si>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</si>
  <si>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</si>
  <si>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</si>
  <si>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</si>
  <si>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</si>
  <si>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</si>
  <si>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</si>
  <si>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</si>
  <si>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</si>
  <si>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</si>
  <si>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</si>
  <si>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</si>
  <si>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</si>
  <si>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</si>
  <si>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</si>
  <si>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</si>
  <si>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</si>
  <si>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</si>
  <si>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</si>
  <si>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</si>
  <si>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</si>
  <si>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</si>
  <si>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</si>
  <si>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</si>
  <si>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</si>
  <si>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</si>
  <si>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</si>
  <si>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</si>
  <si>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</si>
  <si>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</si>
  <si>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</si>
  <si>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</si>
  <si>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</si>
  <si>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</si>
  <si>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</si>
  <si>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</si>
  <si>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</si>
  <si>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</si>
  <si>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</si>
  <si>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</si>
  <si>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</si>
  <si>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</si>
  <si>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</si>
  <si>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</si>
  <si>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</si>
  <si>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</si>
  <si>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</si>
  <si>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</si>
  <si>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</si>
  <si>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</si>
  <si>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</si>
  <si>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</si>
  <si>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</si>
  <si>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</si>
  <si>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</si>
  <si>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</si>
  <si>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</si>
  <si>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</si>
  <si>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</si>
  <si>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</si>
  <si>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</si>
  <si>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</si>
  <si>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</si>
  <si>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</si>
  <si>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</si>
  <si>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</si>
  <si>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</si>
  <si>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</si>
  <si>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</si>
  <si>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</si>
  <si>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</si>
  <si>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</si>
  <si>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</si>
  <si>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</si>
  <si>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</si>
  <si>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</si>
  <si>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</si>
  <si>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</si>
  <si>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</si>
  <si>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</si>
  <si>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</si>
  <si>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</si>
  <si>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</si>
  <si>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</si>
  <si>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</si>
  <si>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</si>
  <si>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</si>
  <si>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</si>
  <si>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</si>
  <si>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</si>
  <si>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</si>
  <si>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</si>
  <si>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</si>
  <si>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</si>
  <si>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</si>
  <si>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</si>
  <si>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</si>
  <si>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</si>
  <si>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</si>
  <si>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</si>
  <si>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</si>
  <si>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</si>
  <si>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</si>
  <si>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</si>
  <si>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</si>
  <si>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</si>
  <si>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</si>
  <si>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</si>
  <si>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</si>
  <si>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</si>
  <si>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</si>
  <si>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</si>
  <si>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</si>
  <si>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</si>
  <si>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</si>
  <si>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</si>
  <si>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</si>
  <si>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</si>
  <si>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</si>
  <si>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</si>
  <si>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</si>
  <si>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</si>
  <si>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</si>
  <si>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</si>
  <si>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</si>
  <si>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</si>
  <si>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</si>
  <si>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</si>
  <si>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</si>
  <si>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</si>
  <si>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</si>
  <si>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</si>
  <si>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</si>
  <si>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</si>
  <si>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</si>
  <si>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</si>
  <si>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</si>
  <si>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</si>
  <si>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</si>
  <si>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</si>
  <si>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</si>
  <si>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</si>
  <si>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</si>
  <si>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</si>
  <si>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</si>
  <si>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</si>
  <si>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</si>
  <si>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</si>
  <si>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</si>
  <si>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</si>
  <si>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</si>
  <si>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</si>
  <si>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</si>
  <si>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</si>
  <si>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</si>
  <si>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</si>
  <si>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</si>
  <si>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</si>
  <si>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</si>
  <si>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</si>
  <si>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</si>
  <si>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</si>
  <si>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</si>
  <si>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</si>
  <si>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</si>
  <si>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</si>
  <si>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</si>
  <si>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</si>
  <si>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</si>
  <si>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</si>
  <si>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</si>
  <si>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</si>
  <si>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</si>
  <si>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</si>
  <si>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</si>
  <si>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</si>
  <si>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</si>
  <si>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</si>
  <si>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</si>
  <si>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</si>
  <si>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</si>
  <si>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</si>
  <si>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</si>
  <si>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</si>
  <si>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</si>
  <si>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</si>
  <si>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</si>
  <si>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</si>
  <si>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</si>
  <si>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</si>
  <si>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</si>
  <si>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</si>
  <si>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</si>
  <si>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</si>
  <si>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</si>
  <si>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</si>
  <si>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</si>
  <si>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</si>
  <si>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</si>
  <si>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</si>
  <si>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</si>
  <si>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</si>
  <si>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</si>
  <si>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</si>
  <si>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</si>
  <si>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</si>
  <si>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</si>
  <si>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</si>
  <si>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</si>
  <si>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</si>
  <si>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</si>
  <si>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</si>
  <si>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</si>
  <si>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</si>
  <si>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</si>
  <si>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</si>
  <si>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</si>
  <si>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</si>
  <si>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</si>
  <si>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</si>
  <si>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</si>
  <si>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</si>
  <si>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</si>
  <si>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</si>
  <si>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</si>
  <si>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</si>
  <si>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</si>
  <si>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</si>
  <si>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</si>
  <si>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</si>
  <si>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</si>
  <si>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</si>
  <si>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</si>
  <si>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</si>
  <si>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</si>
  <si>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</si>
  <si>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</si>
  <si>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</si>
  <si>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</si>
  <si>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</si>
  <si>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</si>
  <si>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</si>
  <si>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</si>
  <si>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</si>
  <si>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</si>
  <si>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</si>
  <si>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</si>
  <si>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</si>
  <si>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</si>
  <si>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</si>
  <si>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</si>
  <si>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</si>
  <si>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</si>
  <si>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</si>
  <si>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</si>
  <si>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</si>
  <si>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</si>
  <si>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</si>
  <si>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</si>
  <si>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</si>
  <si>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</si>
  <si>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</si>
  <si>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</si>
  <si>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</si>
  <si>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</si>
  <si>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</si>
  <si>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</si>
  <si>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</si>
  <si>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</si>
  <si>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</si>
  <si>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</si>
  <si>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</si>
  <si>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</si>
  <si>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</si>
  <si>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</si>
  <si>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</si>
  <si>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</si>
  <si>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</si>
  <si>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</si>
  <si>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</si>
  <si>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</si>
  <si>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</si>
  <si>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</si>
  <si>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</si>
  <si>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</si>
  <si>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</si>
  <si>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</si>
  <si>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</si>
  <si>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</si>
  <si>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</si>
  <si>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</si>
  <si>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</si>
  <si>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</si>
  <si>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</si>
  <si>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</si>
  <si>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</si>
  <si>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</si>
  <si>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</si>
  <si>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</si>
  <si>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</si>
  <si>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</si>
  <si>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</si>
  <si>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</si>
  <si>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</si>
  <si>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</si>
  <si>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</si>
  <si>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</si>
  <si>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</si>
  <si>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</si>
  <si>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</si>
  <si>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</si>
  <si>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</si>
  <si>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</si>
  <si>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</si>
  <si>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</si>
  <si>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</si>
  <si>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</si>
  <si>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</si>
  <si>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</si>
  <si>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</si>
  <si>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</si>
  <si>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</si>
  <si>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</si>
  <si>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</si>
  <si>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</si>
  <si>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</si>
  <si>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</si>
  <si>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</si>
  <si>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</si>
  <si>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</si>
  <si>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</si>
  <si>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</si>
  <si>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</si>
  <si>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</si>
  <si>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</si>
  <si>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</si>
  <si>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</si>
  <si>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</si>
  <si>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</si>
  <si>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</si>
  <si>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</si>
  <si>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</si>
  <si>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</si>
  <si>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</si>
  <si>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</si>
  <si>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</si>
  <si>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</si>
  <si>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</si>
  <si>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</si>
  <si>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</si>
  <si>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</si>
  <si>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</si>
  <si>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</si>
  <si>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</si>
  <si>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</si>
  <si>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</si>
  <si>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</si>
  <si>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</si>
  <si>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</si>
  <si>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</si>
  <si>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</si>
  <si>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</si>
  <si>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</si>
  <si>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</si>
  <si>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</si>
  <si>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</si>
  <si>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</si>
  <si>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</si>
  <si>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</si>
  <si>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</si>
  <si>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</si>
  <si>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</si>
  <si>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</si>
  <si>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</si>
  <si>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</si>
  <si>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</si>
  <si>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</si>
  <si>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</si>
  <si>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</si>
  <si>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</si>
  <si>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</si>
  <si>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</si>
  <si>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</si>
  <si>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</si>
  <si>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</si>
  <si>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</si>
  <si>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</si>
  <si>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</si>
  <si>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</si>
  <si>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</si>
  <si>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</si>
  <si>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</si>
  <si>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</si>
  <si>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</si>
  <si>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</si>
  <si>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</si>
  <si>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</si>
  <si>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</si>
  <si>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</si>
  <si>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</si>
  <si>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</si>
  <si>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</si>
  <si>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</si>
  <si>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</si>
  <si>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</si>
  <si>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</si>
  <si>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</si>
  <si>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</si>
  <si>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</si>
  <si>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</si>
  <si>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</si>
  <si>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</si>
  <si>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</si>
  <si>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</si>
  <si>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</si>
  <si>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</si>
  <si>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</si>
  <si>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</si>
  <si>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</si>
  <si>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</si>
  <si>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</si>
  <si>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</si>
  <si>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</si>
  <si>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</si>
  <si>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</si>
  <si>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</si>
  <si>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</si>
  <si>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</si>
  <si>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</si>
  <si>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</si>
  <si>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</si>
  <si>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</si>
  <si>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</si>
  <si>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</si>
  <si>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</si>
  <si>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</si>
  <si>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</si>
  <si>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</si>
  <si>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</si>
  <si>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</si>
  <si>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</si>
  <si>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</si>
  <si>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</si>
  <si>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</si>
  <si>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</si>
  <si>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</si>
  <si>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</si>
  <si>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</si>
  <si>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</si>
  <si>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</si>
  <si>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</si>
  <si>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</si>
  <si>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</si>
  <si>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</si>
  <si>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</si>
  <si>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</si>
  <si>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</si>
  <si>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</si>
  <si>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</si>
  <si>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</si>
  <si>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</si>
  <si>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</si>
  <si>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</si>
  <si>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</si>
  <si>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</si>
  <si>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</si>
  <si>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</si>
  <si>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</si>
  <si>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</si>
  <si>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</si>
  <si>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</si>
  <si>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</si>
  <si>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</si>
  <si>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</si>
  <si>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</si>
  <si>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</si>
  <si>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</si>
  <si>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</si>
  <si>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</si>
  <si>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</si>
  <si>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</si>
  <si>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</si>
  <si>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</si>
  <si>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</si>
  <si>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</si>
  <si>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</si>
  <si>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</si>
  <si>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</si>
  <si>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</si>
  <si>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</si>
  <si>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</si>
  <si>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</si>
  <si>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</si>
  <si>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</si>
  <si>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</si>
  <si>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</si>
  <si>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</si>
  <si>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</si>
  <si>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</si>
  <si>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</si>
  <si>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</si>
  <si>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</si>
  <si>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</si>
  <si>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</si>
  <si>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</si>
  <si>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</si>
  <si>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</si>
  <si>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</si>
  <si>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</si>
  <si>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</si>
  <si>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</si>
  <si>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</si>
  <si>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</si>
  <si>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</si>
  <si>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</si>
  <si>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</si>
  <si>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</si>
  <si>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</si>
  <si>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</si>
  <si>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</si>
  <si>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</si>
  <si>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</si>
  <si>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</si>
  <si>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</si>
  <si>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</si>
  <si>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</si>
  <si>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</si>
  <si>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</si>
  <si>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</si>
  <si>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</si>
  <si>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</si>
  <si>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</si>
  <si>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</si>
  <si>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</si>
  <si>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</si>
  <si>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</si>
  <si>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</si>
  <si>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</si>
  <si>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</si>
  <si>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</si>
  <si>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</si>
  <si>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</si>
  <si>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</si>
  <si>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</si>
  <si>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</si>
  <si>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</si>
  <si>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</si>
  <si>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</si>
  <si>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</si>
  <si>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</si>
  <si>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</si>
  <si>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</si>
  <si>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</si>
  <si>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</si>
  <si>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</si>
  <si>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</si>
  <si>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</si>
  <si>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</si>
  <si>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</si>
  <si>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</si>
  <si>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</si>
  <si>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</si>
  <si>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</si>
  <si>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</si>
  <si>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</si>
  <si>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</si>
  <si>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</si>
  <si>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</si>
  <si>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</si>
  <si>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</si>
  <si>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</si>
  <si>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</si>
  <si>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</si>
  <si>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</si>
  <si>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</si>
  <si>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</si>
  <si>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</si>
  <si>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</si>
  <si>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</si>
  <si>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</si>
  <si>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</si>
  <si>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</si>
  <si>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</si>
  <si>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</si>
  <si>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</si>
  <si>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</si>
  <si>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</si>
  <si>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</si>
  <si>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</si>
  <si>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</si>
  <si>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</si>
  <si>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</si>
  <si>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</si>
  <si>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</si>
  <si>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</si>
  <si>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</si>
  <si>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</si>
  <si>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</si>
  <si>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</si>
  <si>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</si>
  <si>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</si>
  <si>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</si>
  <si>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</si>
  <si>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</si>
  <si>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</si>
  <si>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</si>
  <si>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</si>
  <si>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</si>
  <si>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</si>
  <si>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</si>
  <si>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</si>
  <si>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</si>
  <si>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</si>
  <si>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</si>
  <si>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</si>
  <si>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</si>
  <si>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</si>
  <si>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</si>
  <si>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</si>
  <si>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</si>
  <si>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</si>
  <si>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</si>
  <si>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</si>
  <si>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</si>
  <si>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</si>
  <si>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</si>
  <si>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</si>
  <si>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</si>
  <si>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</si>
  <si>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</si>
  <si>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</si>
  <si>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</si>
  <si>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</si>
  <si>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</si>
  <si>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</si>
  <si>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</si>
  <si>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</si>
  <si>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</si>
  <si>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</si>
  <si>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</si>
  <si>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</si>
  <si>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</si>
  <si>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</si>
  <si>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</si>
  <si>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</si>
  <si>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</si>
  <si>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</si>
  <si>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</si>
  <si>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</si>
  <si>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</si>
  <si>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</si>
  <si>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</si>
  <si>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</si>
  <si>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</si>
  <si>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</si>
  <si>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</si>
  <si>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</si>
  <si>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</si>
  <si>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</si>
  <si>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</si>
  <si>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</si>
  <si>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</si>
  <si>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</si>
  <si>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</si>
  <si>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</si>
  <si>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</si>
  <si>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</si>
  <si>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</si>
  <si>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</si>
  <si>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</si>
  <si>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</si>
  <si>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</si>
  <si>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</si>
  <si>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</si>
  <si>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</si>
  <si>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</si>
  <si>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</si>
  <si>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</si>
  <si>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</si>
  <si>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</si>
  <si>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</si>
  <si>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</si>
  <si>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</si>
  <si>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</si>
  <si>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</si>
  <si>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</si>
  <si>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</si>
  <si>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</si>
  <si>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</si>
  <si>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</si>
  <si>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</si>
  <si>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</si>
  <si>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</si>
  <si>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</si>
  <si>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</si>
  <si>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</si>
  <si>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</si>
  <si>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</si>
  <si>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</si>
  <si>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</si>
  <si>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</si>
  <si>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</si>
  <si>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</si>
  <si>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</si>
  <si>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</si>
  <si>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</si>
  <si>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</si>
  <si>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</si>
  <si>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</si>
  <si>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</si>
  <si>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</si>
  <si>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</si>
  <si>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</si>
  <si>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</si>
  <si>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</si>
  <si>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</si>
  <si>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</si>
  <si>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</si>
  <si>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</si>
  <si>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</si>
  <si>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</si>
  <si>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</si>
  <si>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</si>
  <si>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</si>
  <si>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</si>
  <si>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</si>
  <si>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</si>
  <si>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</si>
  <si>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</si>
  <si>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</si>
  <si>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</si>
  <si>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</si>
  <si>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</si>
  <si>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</si>
  <si>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</si>
  <si>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</si>
  <si>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</si>
  <si>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</si>
  <si>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</si>
  <si>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</si>
  <si>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</si>
  <si>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</si>
  <si>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</si>
  <si>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</si>
  <si>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</si>
  <si>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</si>
  <si>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</si>
  <si>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</si>
  <si>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</si>
  <si>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</si>
  <si>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</si>
  <si>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</si>
  <si>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</si>
  <si>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</si>
  <si>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</si>
  <si>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</si>
  <si>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</si>
  <si>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</si>
  <si>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</si>
  <si>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</si>
  <si>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</si>
  <si>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</si>
  <si>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</si>
  <si>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</si>
  <si>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</si>
  <si>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</si>
  <si>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</si>
  <si>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</si>
  <si>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</si>
  <si>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</si>
  <si>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</si>
  <si>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</si>
  <si>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</si>
  <si>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</si>
  <si>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</si>
  <si>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</si>
  <si>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</si>
  <si>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</si>
  <si>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</si>
  <si>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</si>
  <si>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</si>
  <si>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</si>
  <si>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</si>
  <si>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</si>
  <si>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</si>
  <si>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</si>
  <si>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</si>
  <si>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</si>
  <si>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</si>
  <si>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</si>
  <si>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</si>
  <si>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</si>
  <si>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</si>
  <si>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</si>
  <si>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</si>
  <si>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</si>
  <si>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</si>
  <si>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</si>
  <si>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</si>
  <si>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</si>
  <si>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</si>
  <si>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</si>
  <si>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</si>
  <si>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</si>
  <si>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</si>
  <si>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</si>
  <si>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</si>
  <si>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</si>
  <si>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</si>
  <si>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</si>
  <si>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</si>
  <si>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</si>
  <si>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</si>
  <si>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</si>
  <si>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</si>
  <si>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</si>
  <si>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</si>
  <si>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</si>
  <si>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</si>
  <si>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</si>
  <si>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</si>
  <si>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</si>
  <si>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</si>
  <si>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</si>
  <si>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</si>
  <si>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</si>
  <si>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</si>
  <si>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</si>
  <si>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</si>
  <si>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</si>
  <si>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</si>
  <si>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</si>
  <si>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</si>
  <si>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</si>
  <si>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</si>
  <si>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</si>
  <si>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</si>
  <si>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</si>
  <si>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</si>
  <si>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</si>
  <si>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</si>
  <si>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</si>
  <si>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</si>
  <si>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</si>
  <si>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</si>
  <si>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</si>
  <si>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</si>
  <si>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</si>
  <si>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</si>
  <si>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</si>
  <si>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</si>
  <si>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</si>
  <si>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</si>
  <si>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</si>
  <si>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</si>
  <si>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</si>
  <si>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</si>
  <si>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</si>
  <si>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</si>
  <si>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</si>
  <si>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</si>
  <si>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</si>
  <si>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</si>
  <si>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</si>
  <si>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</si>
  <si>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</si>
  <si>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</si>
  <si>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</si>
  <si>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</si>
  <si>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</si>
  <si>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</si>
  <si>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</si>
  <si>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</si>
  <si>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</si>
  <si>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</si>
  <si>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</si>
  <si>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</si>
  <si>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</si>
  <si>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</si>
  <si>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</si>
  <si>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</si>
  <si>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</si>
  <si>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</si>
  <si>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</si>
  <si>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</si>
  <si>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</si>
  <si>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</si>
  <si>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</si>
  <si>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</si>
  <si>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</si>
  <si>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</si>
  <si>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</si>
  <si>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</si>
  <si>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</si>
  <si>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</si>
  <si>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</si>
  <si>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</si>
  <si>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</si>
  <si>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</si>
  <si>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</si>
  <si>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</si>
  <si>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</si>
  <si>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</si>
  <si>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</si>
  <si>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</si>
  <si>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</si>
  <si>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</si>
  <si>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</si>
  <si>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</si>
  <si>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</si>
  <si>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</si>
  <si>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</si>
  <si>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</si>
  <si>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</si>
  <si>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</si>
  <si>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</si>
  <si>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</si>
  <si>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</si>
  <si>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</si>
  <si>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</si>
  <si>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</si>
  <si>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</si>
  <si>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</si>
  <si>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</si>
  <si>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</si>
  <si>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</si>
  <si>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</si>
  <si>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</si>
  <si>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</si>
  <si>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</si>
  <si>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</si>
  <si>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</si>
  <si>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</si>
  <si>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</si>
  <si>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</si>
  <si>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</si>
  <si>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</si>
  <si>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</si>
  <si>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</si>
  <si>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</si>
  <si>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</si>
  <si>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</si>
  <si>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</si>
  <si>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</si>
  <si>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</si>
  <si>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</si>
  <si>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</si>
  <si>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</si>
  <si>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</si>
  <si>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</si>
  <si>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</si>
  <si>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</si>
  <si>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</si>
  <si>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</si>
  <si>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</si>
  <si>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</si>
  <si>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</si>
  <si>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</si>
  <si>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</si>
  <si>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</si>
  <si>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</si>
  <si>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</si>
  <si>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</si>
  <si>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</si>
  <si>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</si>
  <si>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</si>
  <si>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</si>
  <si>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</si>
  <si>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</si>
  <si>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</si>
  <si>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</si>
  <si>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</si>
  <si>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</si>
  <si>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</si>
  <si>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</si>
  <si>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</si>
  <si>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</si>
  <si>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</si>
  <si>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</si>
  <si>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</si>
  <si>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</si>
  <si>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</si>
  <si>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</si>
  <si>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</si>
  <si>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</si>
  <si>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</si>
  <si>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</si>
  <si>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</si>
  <si>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</si>
  <si>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</si>
  <si>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</si>
  <si>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</si>
  <si>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</si>
  <si>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</si>
  <si>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</si>
  <si>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</si>
  <si>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</si>
  <si>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</si>
  <si>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</si>
  <si>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</si>
  <si>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</si>
  <si>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</si>
  <si>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</si>
  <si>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</si>
  <si>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</si>
  <si>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</si>
  <si>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</si>
  <si>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</si>
  <si>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</si>
  <si>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</si>
  <si>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</si>
  <si>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</si>
  <si>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</si>
  <si>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</si>
  <si>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</si>
  <si>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</si>
  <si>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</si>
  <si>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</si>
  <si>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</si>
  <si>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</si>
  <si>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</si>
  <si>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</si>
  <si>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</si>
  <si>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</si>
  <si>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</si>
  <si>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</si>
  <si>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</si>
  <si>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</si>
  <si>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</si>
  <si>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</si>
  <si>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</si>
  <si>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</si>
  <si>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</si>
  <si>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</si>
  <si>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</si>
  <si>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</si>
  <si>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</si>
  <si>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</si>
  <si>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</si>
  <si>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</si>
  <si>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</si>
  <si>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</si>
  <si>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</si>
  <si>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</si>
  <si>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</si>
  <si>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</si>
  <si>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</si>
  <si>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</si>
  <si>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</si>
  <si>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</si>
  <si>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</si>
  <si>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</si>
  <si>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</si>
  <si>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</si>
  <si>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</si>
  <si>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</si>
  <si>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</si>
  <si>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</si>
  <si>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</si>
  <si>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</si>
  <si>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</si>
  <si>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</si>
  <si>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</si>
  <si>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</si>
  <si>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</si>
  <si>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</si>
  <si>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</si>
  <si>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</si>
  <si>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</si>
  <si>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</si>
  <si>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</si>
  <si>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</si>
  <si>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</si>
  <si>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</si>
  <si>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</si>
  <si>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</si>
  <si>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</si>
  <si>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</si>
  <si>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</si>
  <si>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</si>
  <si>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</si>
  <si>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</si>
  <si>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</si>
  <si>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</si>
  <si>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</si>
  <si>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</si>
  <si>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</si>
  <si>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</si>
  <si>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</si>
  <si>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</si>
  <si>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</si>
  <si>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</si>
  <si>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</si>
  <si>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</si>
  <si>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</si>
  <si>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</si>
  <si>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</si>
  <si>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</si>
  <si>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</si>
  <si>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</si>
  <si>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</si>
  <si>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</si>
  <si>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</si>
  <si>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</si>
  <si>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</si>
  <si>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</si>
  <si>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</si>
  <si>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</si>
  <si>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</si>
  <si>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</si>
  <si>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</si>
  <si>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</si>
  <si>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</si>
  <si>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</si>
  <si>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</si>
  <si>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</si>
  <si>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</si>
  <si>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</si>
  <si>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</si>
  <si>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</si>
  <si>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</si>
  <si>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</si>
  <si>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</si>
  <si>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</si>
  <si>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</si>
  <si>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</si>
  <si>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</si>
  <si>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</si>
  <si>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</si>
  <si>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</si>
  <si>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</si>
  <si>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</si>
  <si>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</si>
  <si>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</si>
  <si>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</si>
  <si>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</si>
  <si>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</si>
  <si>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</si>
  <si>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</si>
  <si>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</si>
  <si>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</si>
  <si>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</si>
  <si>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</si>
  <si>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</si>
  <si>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</si>
  <si>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</si>
  <si>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</si>
  <si>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</si>
  <si>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</si>
  <si>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</si>
  <si>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</si>
  <si>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</si>
  <si>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</si>
  <si>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</si>
  <si>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</si>
  <si>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</si>
  <si>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</si>
  <si>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</si>
  <si>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</si>
  <si>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</si>
  <si>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</si>
  <si>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</si>
  <si>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</si>
  <si>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</si>
  <si>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</si>
  <si>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</si>
  <si>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</si>
  <si>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</si>
  <si>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</si>
  <si>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</si>
  <si>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</si>
  <si>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</si>
  <si>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</si>
  <si>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</si>
  <si>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</si>
  <si>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</si>
  <si>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</si>
  <si>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</si>
  <si>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</si>
  <si>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</si>
  <si>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</si>
  <si>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</si>
  <si>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</si>
  <si>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</si>
  <si>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</si>
  <si>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</si>
  <si>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</si>
  <si>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</si>
  <si>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</si>
  <si>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</si>
  <si>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</si>
  <si>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</si>
  <si>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</si>
  <si>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</si>
  <si>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</si>
  <si>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</si>
  <si>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</si>
  <si>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</si>
  <si>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</si>
  <si>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</si>
  <si>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</si>
  <si>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</si>
  <si>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</si>
  <si>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</si>
  <si>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</si>
  <si>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</si>
  <si>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</si>
  <si>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</si>
  <si>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</si>
  <si>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</si>
  <si>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</si>
  <si>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</si>
  <si>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</si>
  <si>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</si>
  <si>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</si>
  <si>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</si>
  <si>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</si>
  <si>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</si>
  <si>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</si>
  <si>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</si>
  <si>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</si>
  <si>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</si>
  <si>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</si>
  <si>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</si>
  <si>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</si>
  <si>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</si>
  <si>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</si>
  <si>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</si>
  <si>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</si>
  <si>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</si>
  <si>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</si>
  <si>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</si>
  <si>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</si>
  <si>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</si>
  <si>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</si>
  <si>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</si>
  <si>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</si>
  <si>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</si>
  <si>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</si>
  <si>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</si>
  <si>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</si>
  <si>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</si>
  <si>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</si>
  <si>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</si>
  <si>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</si>
  <si>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</si>
  <si>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</si>
  <si>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</si>
  <si>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</si>
  <si>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</si>
  <si>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</si>
  <si>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</si>
  <si>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</si>
  <si>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</si>
  <si>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</si>
  <si>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</si>
  <si>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</si>
  <si>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</si>
  <si>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</si>
  <si>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</si>
  <si>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</si>
  <si>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</si>
  <si>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</si>
  <si>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</si>
  <si>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</si>
  <si>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</si>
  <si>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</si>
  <si>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</si>
  <si>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</si>
  <si>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</si>
  <si>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</si>
  <si>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</si>
  <si>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</si>
  <si>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</si>
  <si>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</si>
  <si>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</si>
  <si>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</si>
  <si>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</si>
  <si>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</si>
  <si>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</si>
  <si>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</si>
  <si>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</si>
  <si>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</si>
  <si>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</si>
  <si>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</si>
  <si>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</si>
  <si>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</si>
  <si>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</si>
  <si>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</si>
  <si>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</si>
  <si>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</si>
  <si>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</si>
  <si>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</si>
  <si>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</si>
  <si>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</si>
  <si>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</si>
  <si>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</si>
  <si>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</si>
  <si>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</si>
  <si>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</si>
  <si>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</si>
  <si>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</si>
  <si>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</si>
  <si>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</si>
  <si>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</si>
  <si>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</si>
  <si>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</si>
  <si>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</si>
  <si>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</si>
  <si>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</si>
  <si>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</si>
  <si>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</si>
  <si>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</si>
  <si>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</si>
  <si>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</si>
  <si>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</si>
  <si>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</si>
  <si>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</si>
  <si>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</si>
  <si>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</si>
  <si>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</si>
  <si>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</si>
  <si>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</si>
  <si>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</si>
  <si>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</si>
  <si>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</si>
  <si>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</si>
  <si>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</si>
  <si>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</si>
  <si>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</si>
  <si>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</si>
  <si>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</si>
  <si>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</si>
  <si>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</si>
  <si>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</si>
  <si>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</si>
  <si>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</si>
  <si>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</si>
  <si>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</si>
  <si>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</si>
  <si>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</si>
  <si>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</si>
  <si>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</si>
  <si>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</si>
  <si>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</si>
  <si>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</si>
  <si>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</si>
  <si>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</si>
  <si>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</si>
  <si>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</si>
  <si>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</si>
  <si>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</si>
  <si>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</si>
  <si>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</si>
  <si>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</si>
  <si>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</si>
  <si>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</si>
  <si>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</si>
  <si>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</si>
  <si>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</si>
  <si>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</si>
  <si>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</si>
  <si>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</si>
  <si>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</si>
  <si>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</si>
  <si>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</si>
  <si>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</si>
  <si>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</si>
  <si>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</si>
  <si>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</si>
  <si>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</si>
  <si>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</si>
  <si>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</si>
  <si>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</si>
  <si>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</si>
  <si>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</si>
  <si>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</si>
  <si>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</si>
  <si>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</si>
  <si>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</si>
  <si>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</si>
  <si>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</si>
  <si>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</si>
  <si>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</si>
  <si>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</si>
  <si>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</si>
  <si>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</si>
  <si>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</si>
  <si>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</si>
  <si>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</si>
  <si>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</si>
  <si>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</si>
  <si>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</si>
  <si>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</si>
  <si>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</si>
  <si>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</si>
  <si>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</si>
  <si>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</si>
  <si>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</si>
  <si>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</si>
  <si>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</si>
  <si>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</si>
  <si>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</si>
  <si>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</si>
  <si>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</si>
  <si>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</si>
  <si>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</si>
  <si>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</si>
  <si>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</si>
  <si>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</si>
  <si>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</si>
  <si>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</si>
  <si>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</si>
  <si>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</si>
  <si>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</si>
  <si>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</si>
  <si>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</si>
  <si>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</si>
  <si>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</si>
  <si>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</si>
  <si>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</si>
  <si>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</si>
  <si>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</si>
  <si>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</si>
  <si>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</si>
  <si>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</si>
  <si>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</si>
  <si>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</si>
  <si>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</si>
  <si>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</si>
  <si>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</si>
  <si>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</si>
  <si>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</si>
  <si>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</si>
  <si>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</si>
  <si>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</si>
  <si>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</si>
  <si>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</si>
  <si>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</si>
  <si>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</si>
  <si>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</si>
  <si>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</si>
  <si>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</si>
  <si>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</si>
  <si>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</si>
  <si>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</si>
  <si>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</si>
  <si>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</si>
  <si>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</si>
  <si>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</si>
  <si>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</si>
  <si>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</si>
  <si>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</si>
  <si>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</si>
  <si>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</si>
  <si>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</si>
  <si>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</si>
  <si>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</si>
  <si>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</si>
  <si>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</si>
  <si>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</si>
  <si>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</si>
  <si>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</si>
  <si>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</si>
  <si>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</si>
  <si>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</si>
  <si>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</si>
  <si>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</si>
  <si>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</si>
  <si>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</si>
  <si>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</si>
  <si>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</si>
  <si>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</si>
  <si>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</si>
  <si>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</si>
  <si>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</si>
  <si>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</si>
  <si>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</si>
  <si>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</si>
  <si>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</si>
  <si>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</si>
  <si>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</si>
  <si>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</si>
  <si>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</si>
  <si>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</si>
  <si>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</si>
  <si>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</si>
  <si>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</si>
  <si>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</si>
  <si>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</si>
  <si>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</si>
  <si>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</si>
  <si>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</si>
  <si>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</si>
  <si>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</si>
  <si>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</si>
  <si>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</si>
  <si>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</si>
  <si>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</si>
  <si>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</si>
  <si>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</si>
  <si>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</si>
  <si>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</si>
  <si>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</si>
  <si>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</si>
  <si>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</si>
  <si>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</si>
  <si>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</si>
  <si>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</si>
  <si>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</si>
  <si>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</si>
  <si>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</si>
  <si>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</si>
  <si>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</si>
  <si>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</si>
  <si>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</si>
  <si>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</si>
  <si>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</si>
  <si>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</si>
  <si>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</si>
  <si>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</si>
  <si>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</si>
  <si>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</si>
  <si>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</si>
  <si>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</si>
  <si>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</si>
  <si>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</si>
  <si>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</si>
  <si>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</si>
  <si>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</si>
  <si>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</si>
  <si>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</si>
  <si>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</si>
  <si>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</si>
  <si>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</si>
  <si>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</si>
  <si>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</si>
  <si>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</si>
  <si>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</si>
  <si>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</si>
  <si>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</si>
  <si>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</si>
  <si>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</si>
  <si>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</si>
  <si>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</si>
  <si>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</si>
  <si>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</si>
  <si>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</si>
  <si>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</si>
  <si>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</si>
  <si>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</si>
  <si>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</si>
  <si>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</si>
  <si>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</si>
  <si>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</si>
  <si>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</si>
  <si>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</si>
  <si>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</si>
  <si>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</si>
  <si>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</si>
  <si>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</si>
  <si>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</si>
  <si>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</si>
  <si>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</si>
  <si>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</si>
  <si>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</si>
  <si>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</si>
  <si>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</si>
  <si>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</si>
  <si>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</si>
  <si>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</si>
  <si>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</si>
  <si>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</si>
  <si>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</si>
  <si>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</si>
  <si>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</si>
  <si>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</si>
  <si>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</si>
  <si>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</si>
  <si>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</si>
  <si>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</si>
  <si>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</si>
  <si>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</si>
  <si>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</si>
  <si>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</si>
  <si>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</si>
  <si>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</si>
  <si>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</si>
  <si>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</si>
  <si>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</si>
  <si>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</si>
  <si>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</si>
  <si>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</si>
  <si>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</si>
  <si>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</si>
  <si>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</si>
  <si>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</si>
  <si>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</si>
  <si>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</si>
  <si>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</si>
  <si>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</si>
  <si>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</si>
  <si>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</si>
  <si>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</si>
  <si>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</si>
  <si>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</si>
  <si>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</si>
  <si>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</si>
  <si>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</si>
  <si>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</si>
  <si>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</si>
  <si>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</si>
  <si>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</si>
  <si>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</si>
  <si>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</si>
  <si>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</si>
  <si>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</si>
  <si>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</si>
  <si>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</si>
  <si>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</si>
  <si>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</si>
  <si>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</si>
  <si>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</si>
  <si>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</si>
  <si>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</si>
  <si>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</si>
  <si>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</si>
  <si>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</si>
  <si>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</si>
  <si>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</si>
  <si>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</si>
  <si>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</si>
  <si>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</si>
  <si>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</si>
  <si>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</si>
  <si>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</si>
  <si>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</si>
  <si>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</si>
  <si>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</si>
  <si>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</si>
  <si>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</si>
  <si>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</si>
  <si>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</si>
  <si>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</si>
  <si>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</si>
  <si>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</si>
  <si>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</si>
  <si>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</si>
  <si>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</si>
  <si>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</si>
  <si>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</si>
  <si>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</si>
  <si>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</si>
  <si>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</si>
  <si>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</si>
  <si>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</si>
  <si>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</si>
  <si>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</si>
  <si>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</si>
  <si>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</si>
  <si>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</si>
  <si>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</si>
  <si>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</si>
  <si>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</si>
  <si>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</si>
  <si>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</si>
  <si>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</si>
  <si>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</si>
  <si>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</si>
  <si>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</si>
  <si>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</si>
  <si>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</si>
  <si>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</si>
  <si>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</si>
  <si>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</si>
  <si>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</si>
  <si>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</si>
  <si>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</si>
  <si>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</si>
  <si>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</si>
  <si>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</si>
  <si>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</si>
  <si>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</si>
  <si>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</si>
  <si>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</si>
  <si>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</si>
  <si>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</si>
  <si>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</si>
  <si>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</si>
  <si>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</si>
  <si>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</si>
  <si>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</si>
  <si>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</si>
  <si>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</si>
  <si>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</si>
  <si>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</si>
  <si>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</si>
  <si>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</si>
  <si>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</si>
  <si>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</si>
  <si>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</si>
  <si>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</si>
  <si>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</si>
  <si>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</si>
  <si>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</si>
  <si>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</si>
  <si>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</si>
  <si>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</si>
  <si>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</si>
  <si>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</si>
  <si>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</si>
  <si>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</si>
  <si>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</si>
  <si>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</si>
  <si>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</si>
  <si>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</si>
  <si>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</si>
  <si>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</si>
  <si>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</si>
  <si>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</si>
  <si>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</si>
  <si>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</si>
  <si>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</si>
  <si>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</si>
  <si>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</si>
  <si>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</si>
  <si>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</si>
  <si>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</si>
  <si>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</si>
  <si>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</si>
  <si>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</si>
  <si>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</si>
  <si>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</si>
  <si>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</si>
  <si>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</si>
  <si>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</si>
  <si>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</si>
  <si>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</si>
  <si>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</si>
  <si>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</si>
  <si>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</si>
  <si>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</si>
  <si>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</si>
  <si>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</si>
  <si>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</si>
  <si>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</si>
  <si>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</si>
  <si>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</si>
  <si>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</si>
  <si>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</si>
  <si>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</si>
  <si>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</si>
  <si>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</si>
  <si>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</si>
  <si>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</si>
  <si>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</si>
  <si>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</si>
  <si>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</si>
  <si>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</si>
  <si>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</si>
  <si>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</si>
  <si>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</si>
  <si>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</si>
  <si>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</si>
  <si>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</si>
  <si>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</si>
  <si>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</si>
  <si>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</si>
  <si>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</si>
  <si>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</si>
  <si>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</si>
  <si>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</si>
  <si>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</si>
  <si>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</si>
  <si>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</si>
  <si>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</si>
  <si>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</si>
  <si>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</si>
  <si>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</si>
  <si>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</si>
  <si>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</si>
  <si>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</si>
  <si>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</si>
  <si>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</si>
  <si>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</si>
  <si>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</si>
  <si>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</si>
  <si>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</si>
  <si>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</si>
  <si>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</si>
  <si>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</si>
  <si>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</si>
  <si>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</si>
  <si>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</si>
  <si>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</si>
  <si>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</si>
  <si>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</si>
  <si>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</si>
  <si>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</si>
  <si>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</si>
  <si>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</si>
  <si>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</si>
  <si>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</si>
  <si>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</si>
  <si>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</si>
  <si>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</si>
  <si>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</si>
  <si>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</si>
  <si>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</si>
  <si>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</si>
  <si>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</si>
  <si>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</si>
  <si>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</si>
  <si>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</si>
  <si>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</si>
  <si>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</si>
  <si>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</si>
  <si>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</si>
  <si>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</si>
  <si>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</si>
  <si>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</si>
  <si>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</si>
  <si>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</si>
  <si>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</si>
  <si>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</si>
  <si>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</si>
  <si>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</si>
  <si>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</si>
  <si>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</si>
  <si>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</si>
  <si>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</si>
  <si>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</si>
  <si>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</si>
  <si>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</si>
  <si>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</si>
  <si>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</si>
  <si>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</si>
  <si>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</si>
  <si>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</si>
  <si>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</si>
  <si>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</si>
  <si>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</si>
  <si>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</si>
  <si>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</si>
  <si>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</si>
  <si>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</si>
  <si>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</si>
  <si>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</si>
  <si>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</si>
  <si>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</si>
  <si>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</si>
  <si>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</si>
  <si>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</si>
  <si>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</si>
  <si>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</si>
  <si>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</si>
  <si>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</si>
  <si>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</si>
  <si>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</si>
  <si>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</si>
  <si>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</si>
  <si>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</si>
  <si>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</si>
  <si>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</si>
  <si>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</si>
  <si>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</si>
  <si>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</si>
  <si>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</si>
  <si>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</si>
  <si>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</si>
  <si>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</si>
  <si>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</si>
  <si>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</si>
  <si>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</si>
  <si>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</si>
  <si>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</si>
  <si>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</si>
  <si>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</si>
  <si>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</si>
  <si>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</si>
  <si>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</si>
  <si>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</si>
  <si>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</si>
  <si>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</si>
  <si>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</si>
  <si>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</si>
  <si>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</si>
  <si>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</si>
  <si>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</si>
  <si>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</si>
  <si>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</si>
  <si>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</si>
  <si>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</si>
  <si>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</si>
  <si>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</si>
  <si>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</si>
  <si>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</si>
  <si>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</si>
  <si>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</si>
  <si>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</si>
  <si>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</si>
  <si>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</si>
  <si>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</si>
  <si>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</si>
  <si>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</si>
  <si>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</si>
  <si>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</si>
  <si>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</si>
  <si>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</si>
  <si>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</si>
  <si>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</si>
  <si>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</si>
  <si>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</si>
  <si>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</si>
  <si>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</si>
  <si>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</si>
  <si>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</si>
  <si>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</si>
  <si>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</si>
  <si>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</si>
  <si>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</si>
  <si>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</si>
  <si>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</si>
  <si>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</si>
  <si>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</si>
  <si>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</si>
  <si>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</si>
  <si>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</si>
  <si>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</si>
  <si>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</si>
  <si>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</si>
  <si>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</si>
  <si>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</si>
  <si>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</si>
  <si>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</si>
  <si>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</si>
  <si>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</si>
  <si>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</si>
  <si>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</si>
  <si>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</si>
  <si>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</si>
  <si>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</si>
  <si>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</si>
  <si>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</si>
  <si>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</si>
  <si>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</si>
  <si>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</si>
  <si>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</si>
  <si>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</si>
  <si>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</si>
  <si>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</si>
  <si>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</si>
  <si>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</si>
  <si>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</si>
  <si>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</si>
  <si>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</si>
  <si>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</si>
  <si>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</si>
  <si>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</si>
  <si>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</si>
  <si>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</si>
  <si>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</si>
  <si>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</si>
  <si>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</si>
  <si>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</si>
  <si>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</si>
  <si>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</si>
  <si>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</si>
  <si>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</si>
  <si>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</si>
  <si>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</si>
  <si>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</si>
  <si>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</si>
  <si>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</si>
  <si>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</si>
  <si>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</si>
  <si>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</si>
  <si>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</si>
  <si>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</si>
  <si>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</si>
  <si>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</si>
  <si>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</si>
  <si>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</si>
  <si>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</si>
  <si>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</si>
  <si>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</si>
  <si>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</si>
  <si>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</si>
  <si>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</si>
  <si>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</si>
  <si>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</si>
  <si>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</si>
  <si>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</si>
  <si>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</si>
  <si>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</si>
  <si>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</si>
  <si>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</si>
  <si>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</si>
  <si>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</si>
  <si>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</si>
  <si>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</si>
  <si>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</si>
  <si>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</si>
  <si>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</si>
  <si>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</si>
  <si>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</si>
  <si>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</si>
  <si>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</si>
  <si>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</si>
  <si>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</si>
  <si>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</si>
  <si>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</si>
  <si>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</si>
  <si>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</si>
  <si>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</si>
  <si>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</si>
  <si>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</si>
  <si>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</si>
  <si>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</si>
  <si>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</si>
  <si>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</si>
  <si>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</si>
  <si>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</si>
  <si>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</si>
  <si>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</si>
  <si>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</si>
  <si>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</si>
  <si>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</si>
  <si>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</si>
  <si>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</si>
  <si>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</si>
  <si>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</si>
  <si>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</si>
  <si>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</si>
  <si>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</si>
  <si>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</si>
  <si>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</si>
  <si>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</si>
  <si>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</si>
  <si>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</si>
  <si>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</si>
  <si>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</si>
  <si>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</si>
  <si>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</si>
  <si>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</si>
  <si>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</si>
  <si>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</si>
  <si>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</si>
  <si>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</si>
  <si>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</si>
  <si>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</si>
  <si>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</si>
  <si>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</si>
  <si>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</si>
  <si>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</si>
  <si>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</si>
  <si>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</si>
  <si>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</si>
  <si>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</si>
  <si>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</si>
  <si>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</si>
  <si>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</si>
  <si>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</si>
  <si>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</si>
  <si>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</si>
  <si>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</si>
  <si>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</si>
  <si>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</si>
  <si>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</si>
  <si>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</si>
  <si>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</si>
  <si>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</si>
  <si>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</si>
  <si>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</si>
  <si>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</si>
  <si>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</si>
  <si>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</si>
  <si>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</si>
  <si>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</si>
  <si>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</si>
  <si>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</si>
  <si>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</si>
  <si>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</si>
  <si>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</si>
  <si>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</si>
  <si>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</si>
  <si>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</si>
  <si>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</si>
  <si>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</si>
  <si>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</si>
  <si>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</si>
  <si>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</si>
  <si>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</si>
  <si>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</si>
  <si>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</si>
  <si>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</si>
  <si>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</si>
  <si>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</si>
  <si>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</si>
  <si>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</si>
  <si>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</si>
  <si>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</si>
  <si>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</si>
  <si>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</si>
  <si>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</si>
  <si>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</si>
  <si>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</si>
  <si>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</si>
  <si>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</si>
  <si>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</si>
  <si>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</si>
  <si>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</si>
  <si>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</si>
  <si>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</si>
  <si>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</si>
  <si>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</si>
  <si>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</si>
  <si>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</si>
  <si>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</si>
  <si>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</si>
  <si>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</si>
  <si>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</si>
  <si>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</si>
  <si>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</si>
  <si>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</si>
  <si>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</si>
  <si>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</si>
  <si>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</si>
  <si>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</si>
  <si>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</si>
  <si>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</si>
  <si>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</si>
  <si>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</si>
  <si>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</si>
  <si>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</si>
  <si>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</si>
  <si>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</si>
  <si>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</si>
  <si>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</si>
  <si>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</si>
  <si>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</si>
  <si>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</si>
  <si>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</si>
  <si>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</si>
  <si>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</si>
  <si>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</si>
  <si>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</si>
  <si>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</si>
  <si>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</si>
  <si>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</si>
  <si>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</si>
  <si>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</si>
  <si>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</si>
  <si>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</si>
  <si>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</si>
  <si>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</si>
  <si>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</si>
  <si>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</si>
  <si>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</si>
  <si>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</si>
  <si>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</si>
  <si>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</si>
  <si>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</si>
  <si>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</si>
  <si>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</si>
  <si>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</si>
  <si>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</si>
  <si>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</si>
  <si>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</si>
  <si>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</si>
  <si>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</si>
  <si>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</si>
  <si>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</si>
  <si>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</si>
  <si>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</si>
  <si>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</si>
  <si>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</si>
  <si>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</si>
  <si>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</si>
  <si>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</si>
  <si>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</si>
  <si>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</si>
  <si>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</si>
  <si>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</si>
  <si>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</si>
  <si>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</si>
  <si>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</si>
  <si>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</si>
  <si>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</si>
  <si>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</si>
  <si>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</si>
  <si>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</si>
  <si>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</si>
  <si>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</si>
  <si>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</si>
  <si>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</si>
  <si>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</si>
  <si>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</si>
  <si>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</si>
  <si>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</si>
  <si>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</si>
  <si>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</si>
  <si>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</si>
  <si>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</si>
  <si>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</si>
  <si>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</si>
  <si>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</si>
  <si>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</si>
  <si>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</si>
  <si>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</si>
  <si>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</si>
  <si>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</si>
  <si>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</si>
  <si>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</si>
  <si>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</si>
  <si>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</si>
  <si>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</si>
  <si>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</si>
  <si>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</si>
  <si>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</si>
  <si>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</si>
  <si>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</si>
  <si>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</si>
  <si>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</si>
  <si>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</si>
  <si>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</si>
  <si>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</si>
  <si>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</si>
  <si>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</si>
  <si>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</si>
  <si>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</si>
  <si>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</si>
  <si>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</si>
  <si>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</si>
  <si>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</si>
  <si>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</si>
  <si>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</si>
  <si>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</si>
  <si>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</si>
  <si>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</si>
  <si>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</si>
  <si>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</si>
  <si>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</si>
  <si>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</si>
  <si>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</si>
  <si>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</si>
  <si>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</si>
  <si>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</si>
  <si>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</si>
  <si>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</si>
  <si>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</si>
  <si>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</si>
  <si>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</si>
  <si>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</si>
  <si>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</si>
  <si>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</si>
  <si>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</si>
  <si>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</si>
  <si>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</si>
  <si>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</si>
  <si>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</si>
  <si>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</si>
  <si>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</si>
  <si>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</si>
  <si>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</si>
  <si>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</si>
  <si>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</si>
  <si>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</si>
  <si>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</si>
  <si>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</si>
  <si>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</si>
  <si>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</si>
  <si>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</si>
  <si>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</si>
  <si>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</si>
  <si>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</si>
  <si>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</si>
  <si>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</si>
  <si>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</si>
  <si>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</si>
  <si>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</si>
  <si>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</si>
  <si>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</si>
  <si>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</si>
  <si>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</si>
  <si>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</si>
  <si>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</si>
  <si>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</si>
  <si>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</si>
  <si>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</si>
  <si>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</si>
  <si>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</si>
  <si>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</si>
  <si>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</si>
  <si>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</si>
  <si>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</si>
  <si>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</si>
  <si>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</si>
  <si>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</si>
  <si>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</si>
  <si>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</si>
  <si>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</si>
  <si>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</si>
  <si>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</si>
  <si>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</si>
  <si>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</si>
  <si>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</si>
  <si>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</si>
  <si>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</si>
  <si>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</si>
  <si>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</si>
  <si>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</si>
  <si>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</si>
  <si>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</si>
  <si>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</si>
  <si>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</si>
  <si>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</si>
  <si>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</si>
  <si>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</si>
  <si>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</si>
  <si>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</si>
  <si>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</si>
  <si>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</si>
  <si>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</si>
  <si>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</si>
  <si>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</si>
  <si>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</si>
  <si>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</si>
  <si>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</si>
  <si>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</si>
  <si>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</si>
  <si>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</si>
  <si>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</si>
  <si>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</si>
  <si>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</si>
  <si>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</si>
  <si>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</si>
  <si>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</si>
  <si>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</si>
  <si>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</si>
  <si>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</si>
  <si>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</si>
  <si>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</si>
  <si>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</si>
  <si>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</si>
  <si>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</si>
  <si>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</si>
  <si>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</si>
  <si>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</si>
  <si>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</si>
  <si>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</si>
  <si>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</si>
  <si>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</si>
  <si>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</si>
  <si>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</si>
  <si>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</si>
  <si>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</si>
  <si>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</si>
  <si>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</si>
  <si>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</si>
  <si>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</si>
  <si>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</si>
  <si>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</si>
  <si>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</si>
  <si>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</si>
  <si>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</si>
  <si>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</si>
  <si>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</si>
  <si>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</si>
  <si>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</si>
  <si>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</si>
  <si>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</si>
  <si>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</si>
  <si>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</si>
  <si>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</si>
  <si>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</si>
  <si>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</si>
  <si>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</si>
  <si>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</si>
  <si>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</si>
  <si>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</si>
  <si>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</si>
  <si>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</si>
  <si>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</si>
  <si>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</si>
  <si>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</si>
  <si>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</si>
  <si>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</si>
  <si>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</si>
  <si>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</si>
  <si>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</si>
  <si>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</si>
  <si>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</si>
  <si>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</si>
  <si>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</si>
  <si>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</si>
  <si>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</si>
  <si>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</si>
  <si>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</si>
  <si>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</si>
  <si>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</si>
  <si>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</si>
  <si>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</si>
  <si>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</si>
  <si>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</si>
  <si>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</si>
  <si>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</si>
  <si>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</si>
  <si>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</si>
  <si>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</si>
  <si>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</si>
  <si>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</si>
  <si>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</si>
  <si>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</si>
  <si>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</si>
  <si>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</si>
  <si>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</si>
  <si>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</si>
  <si>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</si>
  <si>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</si>
  <si>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</si>
  <si>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</si>
  <si>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</si>
  <si>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</si>
  <si>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</si>
  <si>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</si>
  <si>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</si>
  <si>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</si>
  <si>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</si>
  <si>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</si>
  <si>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</si>
  <si>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</si>
  <si>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</si>
  <si>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</si>
  <si>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</si>
  <si>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</si>
  <si>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</si>
  <si>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</si>
  <si>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</si>
  <si>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</si>
  <si>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</si>
  <si>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</si>
  <si>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</si>
  <si>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</si>
  <si>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</si>
  <si>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</si>
  <si>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</si>
  <si>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</si>
  <si>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</si>
  <si>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</si>
  <si>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</si>
  <si>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</si>
  <si>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</si>
  <si>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</si>
  <si>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</si>
  <si>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</si>
  <si>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</si>
  <si>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</si>
  <si>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</si>
  <si>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</si>
  <si>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</si>
  <si>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</si>
  <si>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</si>
  <si>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</si>
  <si>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</si>
  <si>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</si>
  <si>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</si>
  <si>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</si>
  <si>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</si>
  <si>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</si>
  <si>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</si>
  <si>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</si>
  <si>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</si>
  <si>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</si>
  <si>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</si>
  <si>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</si>
  <si>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</si>
  <si>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</si>
  <si>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</si>
  <si>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</si>
  <si>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</si>
  <si>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</si>
  <si>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</si>
  <si>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</si>
  <si>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</si>
  <si>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</si>
  <si>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</si>
  <si>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</si>
  <si>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</si>
  <si>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</si>
  <si>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</si>
  <si>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</si>
  <si>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</si>
  <si>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</si>
  <si>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</si>
  <si>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</si>
  <si>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</si>
  <si>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</si>
  <si>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</si>
  <si>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</si>
  <si>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</si>
  <si>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</si>
  <si>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</si>
  <si>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</si>
  <si>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</si>
  <si>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</si>
  <si>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</si>
  <si>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</si>
  <si>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</si>
  <si>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</si>
  <si>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</si>
  <si>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</si>
  <si>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</si>
  <si>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</si>
  <si>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</si>
  <si>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</si>
  <si>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</si>
  <si>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</si>
  <si>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</si>
  <si>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</si>
  <si>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</si>
  <si>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</si>
  <si>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</si>
  <si>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</si>
  <si>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</si>
  <si>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</si>
  <si>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</si>
  <si>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</si>
  <si>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</si>
  <si>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</si>
  <si>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</si>
  <si>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</si>
  <si>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</si>
  <si>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</si>
  <si>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</si>
  <si>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</si>
  <si>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</si>
  <si>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</si>
  <si>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</si>
  <si>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</si>
  <si>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</si>
  <si>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</si>
  <si>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</si>
  <si>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</si>
  <si>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</si>
  <si>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</si>
  <si>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</si>
  <si>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</si>
  <si>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</si>
  <si>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</si>
  <si>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</si>
  <si>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</si>
  <si>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</si>
  <si>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</si>
  <si>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</si>
  <si>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</si>
  <si>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</si>
  <si>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</si>
  <si>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</si>
  <si>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</si>
  <si>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</si>
  <si>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</si>
  <si>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</si>
  <si>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</si>
  <si>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</si>
  <si>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</si>
  <si>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</si>
  <si>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</si>
  <si>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</si>
  <si>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</si>
  <si>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</si>
  <si>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</si>
  <si>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</si>
  <si>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</si>
  <si>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</si>
  <si>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</si>
  <si>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</si>
  <si>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</si>
  <si>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</si>
  <si>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</si>
  <si>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</si>
  <si>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</si>
  <si>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</si>
  <si>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</si>
  <si>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</si>
  <si>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</si>
  <si>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</si>
  <si>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</si>
  <si>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</si>
  <si>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</si>
  <si>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</si>
  <si>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</si>
  <si>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</si>
  <si>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</si>
  <si>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</si>
  <si>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</si>
  <si>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</si>
  <si>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</si>
  <si>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</si>
  <si>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</si>
  <si>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</si>
  <si>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</si>
  <si>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</si>
  <si>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</si>
  <si>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</si>
  <si>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</si>
  <si>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</si>
  <si>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</si>
  <si>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</si>
  <si>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</si>
  <si>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</si>
  <si>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</si>
  <si>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</si>
  <si>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</si>
  <si>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</si>
  <si>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</si>
  <si>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</si>
  <si>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</si>
  <si>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</si>
  <si>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</si>
  <si>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</si>
  <si>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</si>
  <si>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</si>
  <si>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</si>
  <si>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</si>
  <si>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</si>
  <si>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</si>
  <si>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</si>
  <si>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</si>
  <si>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</si>
  <si>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</si>
  <si>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</si>
  <si>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</si>
  <si>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</si>
  <si>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</si>
  <si>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</si>
  <si>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</si>
  <si>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</si>
  <si>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</si>
  <si>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</si>
  <si>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</si>
  <si>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</si>
  <si>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</si>
  <si>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</si>
  <si>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</si>
  <si>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</si>
  <si>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</si>
  <si>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</si>
  <si>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</si>
  <si>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</si>
  <si>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</si>
  <si>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</si>
  <si>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</si>
  <si>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</si>
  <si>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</si>
  <si>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</si>
  <si>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</si>
  <si>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</si>
  <si>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</si>
  <si>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</si>
  <si>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</si>
  <si>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</si>
  <si>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</si>
  <si>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</si>
  <si>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</si>
  <si>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</si>
  <si>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</si>
  <si>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</si>
  <si>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</si>
  <si>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</si>
  <si>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</si>
  <si>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</si>
  <si>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</si>
  <si>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</si>
  <si>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</si>
  <si>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</si>
  <si>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</si>
  <si>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</si>
  <si>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</si>
  <si>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</si>
  <si>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</si>
  <si>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</si>
  <si>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</si>
  <si>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</si>
  <si>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</si>
  <si>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</si>
  <si>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</si>
  <si>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</si>
  <si>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</si>
  <si>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</si>
  <si>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</si>
  <si>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</si>
  <si>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</si>
  <si>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</si>
  <si>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</si>
  <si>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</si>
  <si>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</si>
  <si>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</si>
  <si>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</si>
  <si>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</si>
  <si>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</si>
  <si>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</si>
  <si>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</si>
  <si>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</si>
  <si>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</si>
  <si>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</si>
  <si>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</si>
  <si>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</si>
  <si>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</si>
  <si>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</si>
  <si>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</si>
  <si>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</si>
  <si>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</si>
  <si>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</si>
  <si>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</si>
  <si>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</si>
  <si>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</si>
  <si>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</si>
  <si>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</si>
  <si>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</si>
  <si>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</si>
  <si>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</si>
  <si>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</si>
  <si>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</si>
  <si>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</si>
  <si>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</si>
  <si>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</si>
  <si>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</si>
  <si>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</si>
  <si>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</si>
  <si>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</si>
  <si>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</si>
  <si>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</si>
  <si>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</si>
  <si>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</si>
  <si>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</si>
  <si>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</si>
  <si>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</si>
  <si>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</si>
  <si>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</si>
  <si>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</si>
  <si>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</si>
  <si>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</si>
  <si>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</si>
  <si>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</si>
  <si>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</si>
  <si>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</si>
  <si>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</si>
  <si>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</si>
  <si>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</si>
  <si>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</si>
  <si>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</si>
  <si>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</si>
  <si>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</si>
  <si>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</si>
  <si>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</si>
  <si>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</si>
  <si>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</si>
  <si>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</si>
  <si>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</si>
  <si>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</si>
  <si>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</si>
  <si>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</si>
  <si>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</si>
  <si>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</si>
  <si>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</si>
  <si>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</si>
  <si>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</si>
  <si>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</si>
  <si>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</si>
  <si>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</si>
  <si>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</si>
  <si>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</si>
  <si>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</si>
  <si>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</si>
  <si>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</si>
  <si>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</si>
  <si>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</si>
  <si>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</si>
  <si>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</si>
  <si>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</si>
  <si>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</si>
  <si>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</si>
  <si>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</si>
  <si>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</si>
  <si>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</si>
  <si>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</si>
  <si>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</si>
  <si>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</si>
  <si>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</si>
  <si>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</si>
  <si>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</si>
  <si>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</si>
  <si>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</si>
  <si>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</si>
  <si>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</si>
  <si>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</si>
  <si>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</si>
  <si>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</si>
  <si>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</si>
  <si>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</si>
  <si>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</si>
  <si>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</si>
  <si>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</si>
  <si>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</si>
  <si>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</si>
  <si>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</si>
  <si>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</si>
  <si>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</si>
  <si>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</si>
  <si>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</si>
  <si>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</si>
  <si>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</si>
  <si>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</si>
  <si>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</si>
  <si>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</si>
  <si>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</si>
  <si>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</si>
  <si>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</si>
  <si>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</si>
  <si>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</si>
  <si>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</si>
  <si>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</si>
  <si>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</si>
  <si>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</si>
  <si>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</si>
  <si>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</si>
  <si>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</si>
  <si>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</si>
  <si>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</si>
  <si>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</si>
  <si>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</si>
  <si>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</si>
  <si>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</si>
  <si>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</si>
  <si>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</si>
  <si>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</si>
  <si>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</si>
  <si>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</si>
  <si>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</si>
  <si>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</si>
  <si>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</si>
  <si>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</si>
  <si>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</si>
  <si>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</si>
  <si>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</si>
  <si>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</si>
  <si>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</si>
  <si>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</si>
  <si>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</si>
  <si>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</si>
  <si>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</si>
  <si>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</si>
  <si>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</si>
  <si>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</si>
  <si>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</si>
  <si>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</si>
  <si>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</si>
  <si>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</si>
  <si>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</si>
  <si>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</si>
  <si>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</si>
  <si>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</si>
  <si>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</si>
  <si>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</si>
  <si>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</si>
  <si>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</si>
  <si>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</si>
  <si>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</si>
  <si>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</si>
  <si>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</si>
  <si>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</si>
  <si>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</si>
  <si>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</si>
  <si>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</si>
  <si>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</si>
  <si>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</si>
  <si>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</si>
  <si>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</si>
  <si>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</si>
  <si>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</si>
  <si>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</si>
  <si>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</si>
  <si>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</si>
  <si>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</si>
  <si>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</si>
  <si>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</si>
  <si>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</si>
  <si>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</si>
  <si>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</si>
  <si>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</si>
  <si>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</si>
  <si>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</si>
  <si>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</si>
  <si>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</si>
  <si>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</si>
  <si>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</si>
  <si>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</si>
  <si>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</si>
  <si>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</si>
  <si>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</si>
  <si>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</si>
  <si>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</si>
  <si>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</si>
  <si>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</si>
  <si>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</si>
  <si>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</si>
  <si>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</si>
  <si>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</si>
  <si>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</si>
  <si>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</si>
  <si>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</si>
  <si>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</si>
  <si>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</si>
  <si>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</si>
  <si>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</si>
  <si>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</si>
  <si>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</si>
  <si>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</si>
  <si>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</si>
  <si>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</si>
  <si>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</si>
  <si>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</si>
  <si>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</si>
  <si>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</si>
  <si>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</si>
  <si>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</si>
  <si>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</si>
  <si>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</si>
  <si>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</si>
  <si>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</si>
  <si>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</si>
  <si>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</si>
  <si>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</si>
  <si>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</si>
  <si>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</si>
  <si>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</si>
  <si>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</si>
  <si>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</si>
  <si>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</si>
  <si>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</si>
  <si>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</si>
  <si>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</si>
  <si>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</si>
  <si>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</si>
  <si>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</si>
  <si>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</si>
  <si>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</si>
  <si>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</si>
  <si>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</si>
  <si>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</si>
  <si>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</si>
  <si>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</si>
  <si>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</si>
  <si>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</si>
  <si>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</si>
  <si>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</si>
  <si>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</si>
  <si>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</si>
  <si>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</si>
  <si>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</si>
  <si>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</si>
  <si>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</si>
  <si>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</si>
  <si>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</si>
  <si>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</si>
  <si>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</si>
  <si>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</si>
  <si>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</si>
  <si>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</si>
  <si>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</si>
  <si>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</si>
  <si>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</si>
  <si>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</si>
  <si>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</si>
  <si>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</si>
  <si>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</si>
  <si>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</si>
  <si>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</si>
  <si>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</si>
  <si>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</si>
  <si>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</si>
  <si>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</si>
  <si>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</si>
  <si>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</si>
  <si>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</si>
  <si>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</si>
  <si>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</si>
  <si>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</si>
  <si>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</si>
  <si>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</si>
  <si>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</si>
  <si>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</si>
  <si>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</si>
  <si>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</si>
  <si>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</si>
  <si>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</si>
  <si>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</si>
  <si>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</si>
  <si>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</si>
  <si>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</si>
  <si>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</si>
  <si>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</si>
  <si>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</si>
  <si>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</si>
  <si>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</si>
  <si>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</si>
  <si>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</si>
  <si>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</si>
  <si>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</si>
  <si>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</si>
  <si>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</si>
  <si>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</si>
  <si>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</si>
  <si>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</si>
  <si>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</si>
  <si>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</si>
  <si>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</si>
  <si>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</si>
  <si>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</si>
  <si>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</si>
  <si>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</si>
  <si>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</si>
  <si>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</si>
  <si>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</si>
  <si>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</si>
  <si>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</si>
  <si>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</si>
  <si>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</si>
  <si>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</si>
  <si>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</si>
  <si>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</si>
  <si>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</si>
  <si>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</si>
  <si>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</si>
  <si>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</si>
  <si>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</si>
  <si>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</si>
  <si>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</si>
  <si>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</si>
  <si>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</si>
  <si>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</si>
  <si>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</si>
  <si>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</si>
  <si>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</si>
  <si>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</si>
  <si>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</si>
  <si>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</si>
  <si>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</si>
  <si>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</si>
  <si>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</si>
  <si>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</si>
  <si>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</si>
  <si>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</si>
  <si>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</si>
  <si>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</si>
  <si>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</si>
  <si>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</si>
  <si>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</si>
  <si>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</si>
  <si>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</si>
  <si>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</si>
  <si>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</si>
  <si>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</si>
  <si>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</si>
  <si>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</si>
  <si>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</si>
  <si>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</si>
  <si>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</si>
  <si>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</si>
  <si>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</si>
  <si>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</si>
  <si>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</si>
  <si>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</si>
  <si>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</si>
  <si>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</si>
  <si>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</si>
  <si>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</si>
  <si>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</si>
  <si>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</si>
  <si>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</si>
  <si>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</si>
  <si>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</si>
  <si>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</si>
  <si>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</si>
  <si>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</si>
  <si>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</si>
  <si>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</si>
  <si>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</si>
  <si>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</si>
  <si>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</si>
  <si>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</si>
  <si>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</si>
  <si>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</si>
  <si>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</si>
  <si>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</si>
  <si>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</si>
  <si>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</si>
  <si>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</si>
  <si>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</si>
  <si>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</si>
  <si>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</si>
  <si>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</si>
  <si>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</si>
  <si>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</si>
  <si>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</si>
  <si>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</si>
  <si>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</si>
  <si>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</si>
  <si>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</si>
  <si>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</si>
  <si>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</si>
  <si>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</si>
  <si>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</si>
  <si>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</si>
  <si>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</si>
  <si>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</si>
  <si>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</si>
  <si>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</si>
  <si>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</si>
  <si>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</si>
  <si>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</si>
  <si>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</si>
  <si>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</si>
  <si>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</si>
  <si>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</si>
  <si>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</si>
  <si>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</si>
  <si>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</si>
  <si>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</si>
  <si>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</si>
  <si>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</si>
  <si>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</si>
  <si>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</si>
  <si>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</si>
  <si>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</si>
  <si>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</si>
  <si>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</si>
  <si>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</si>
  <si>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</si>
  <si>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</si>
  <si>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</si>
  <si>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</si>
  <si>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</si>
  <si>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</si>
  <si>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</si>
  <si>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</si>
  <si>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</si>
  <si>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</si>
  <si>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</si>
  <si>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</si>
  <si>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</si>
  <si>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</si>
  <si>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</si>
  <si>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</si>
  <si>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</si>
  <si>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</si>
  <si>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</si>
  <si>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</si>
  <si>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</si>
  <si>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</si>
  <si>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</si>
  <si>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</si>
  <si>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</si>
  <si>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</si>
  <si>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</si>
  <si>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</si>
  <si>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</si>
  <si>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</si>
  <si>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</si>
  <si>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</si>
  <si>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</si>
  <si>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</si>
  <si>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</si>
  <si>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</si>
  <si>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</si>
  <si>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</si>
  <si>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</si>
  <si>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</si>
  <si>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</si>
  <si>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</si>
  <si>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</si>
  <si>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</si>
  <si>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</si>
  <si>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</si>
  <si>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</si>
  <si>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</si>
  <si>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</si>
  <si>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</si>
  <si>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</si>
  <si>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</si>
  <si>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</si>
  <si>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</si>
  <si>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</si>
  <si>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</si>
  <si>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</si>
  <si>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</si>
  <si>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</si>
  <si>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</si>
  <si>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</si>
  <si>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</si>
  <si>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</si>
  <si>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</si>
  <si>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</si>
  <si>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</si>
  <si>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</si>
  <si>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</si>
  <si>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</si>
  <si>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</si>
  <si>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</si>
  <si>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</si>
  <si>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</si>
  <si>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</si>
  <si>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</si>
  <si>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</si>
  <si>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</si>
  <si>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</si>
  <si>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</si>
  <si>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</si>
  <si>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</si>
  <si>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</si>
  <si>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</si>
  <si>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</si>
  <si>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</si>
  <si>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</si>
  <si>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</si>
  <si>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</si>
  <si>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</si>
  <si>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</si>
  <si>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</si>
  <si>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</si>
  <si>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</si>
  <si>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</si>
  <si>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</si>
  <si>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</si>
  <si>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</si>
  <si>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</si>
  <si>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</si>
  <si>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</si>
  <si>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</si>
  <si>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</si>
  <si>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</si>
  <si>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</si>
  <si>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</si>
  <si>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</si>
  <si>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</si>
  <si>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</si>
  <si>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</si>
  <si>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</si>
  <si>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</si>
  <si>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</si>
  <si>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</si>
  <si>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</si>
  <si>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</si>
  <si>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</si>
  <si>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</si>
  <si>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</si>
  <si>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</si>
  <si>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</si>
  <si>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</si>
  <si>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</si>
  <si>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</si>
  <si>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</si>
  <si>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</si>
  <si>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</si>
  <si>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</si>
  <si>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</si>
  <si>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</si>
  <si>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</si>
  <si>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</si>
  <si>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</si>
  <si>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</si>
  <si>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</si>
  <si>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</si>
  <si>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</si>
  <si>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</si>
  <si>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</si>
  <si>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</si>
  <si>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</si>
  <si>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</si>
  <si>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</si>
  <si>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</si>
  <si>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</si>
  <si>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</si>
  <si>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</si>
  <si>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</si>
  <si>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</si>
  <si>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</si>
  <si>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</si>
  <si>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</si>
  <si>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</si>
  <si>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</si>
  <si>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</si>
  <si>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</si>
  <si>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</si>
  <si>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</si>
  <si>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</si>
  <si>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</si>
  <si>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</si>
  <si>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</si>
  <si>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</si>
  <si>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</si>
  <si>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</si>
  <si>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</si>
  <si>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</si>
  <si>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</si>
  <si>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</si>
  <si>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</si>
  <si>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</si>
  <si>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</si>
  <si>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</si>
  <si>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</si>
  <si>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</si>
  <si>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</si>
  <si>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</si>
  <si>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</si>
  <si>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</si>
  <si>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</si>
  <si>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</si>
  <si>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</si>
  <si>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</si>
  <si>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</si>
  <si>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</si>
  <si>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</si>
  <si>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</si>
  <si>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</si>
  <si>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</si>
  <si>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</si>
  <si>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</si>
  <si>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</si>
  <si>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</si>
  <si>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</si>
  <si>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</si>
  <si>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</si>
  <si>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</si>
  <si>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</si>
  <si>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</si>
  <si>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</si>
  <si>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</si>
  <si>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</si>
  <si>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</si>
  <si>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</si>
  <si>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</si>
  <si>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</si>
  <si>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</si>
  <si>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</si>
  <si>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</si>
  <si>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</si>
  <si>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</si>
  <si>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</si>
  <si>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P(Albergo)</t>
  </si>
  <si>
    <t>P(Bed &amp; Breakfast)</t>
  </si>
  <si>
    <t>P(2 Alberghi su 2 Estrazioni)</t>
  </si>
  <si>
    <t>Probabilita dai conteggi</t>
  </si>
  <si>
    <t>Esercizio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</si>
</sst>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 applyFont="1" applyAlignment="1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0" fillId="0" borderId="13" xfId="0" applyFont="1" applyBorder="1" applyAlignment="1">
      <alignment vertical="center" wrapText="1"/>
    </xf>
    <xf numFmtId="0" fontId="0" fillId="0" borderId="13" xfId="0" applyFont="1" applyBorder="1" applyAlignment="1">
      <alignment horizontal="right" vertical="center" wrapText="1"/>
    </xf>
    <xf numFmtId="0" fontId="0" fillId="6" borderId="13" xfId="0" applyFont="1" applyFill="1" applyBorder="1" applyAlignment="1">
      <alignment horizontal="right" vertical="center" wrapText="1"/>
    </xf>
    <xf numFmtId="0" fontId="0" fillId="6" borderId="0" xfId="0" applyFont="1" applyFill="1" applyAlignment="1"/>
    <xf numFmtId="0" fontId="0" fillId="7" borderId="0" xfId="0" applyFont="1" applyFill="1" applyAlignment="1"/>
    <xf numFmtId="0" fontId="0" fillId="8" borderId="0" xfId="0" applyFont="1" applyFill="1" applyAlignment="1"/>
    <xf numFmtId="10" fontId="0" fillId="7" borderId="0" xfId="1" applyNumberFormat="1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workbookViewId="0"/>
  </sheetViews>
  <sheetFormatPr defaultColWidth="14.42578125" defaultRowHeight="15" customHeight="1" x14ac:dyDescent="0.25"/>
  <cols>
    <col min="1" max="1" width="29" customWidth="1"/>
    <col min="2" max="2" width="35.5703125" customWidth="1"/>
    <col min="3" max="3" width="41" customWidth="1"/>
    <col min="4" max="4" width="26.85546875" customWidth="1"/>
    <col min="5" max="5" width="46.28515625" customWidth="1"/>
    <col min="6" max="6" width="57" customWidth="1"/>
    <col min="7" max="7" width="48.42578125" customWidth="1"/>
  </cols>
  <sheetData>
    <row r="1" spans="1: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ht="15" customHeight="1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ht="15" customHeight="1" x14ac:dyDescent="0.2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ht="15" customHeight="1" x14ac:dyDescent="0.2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ht="15" customHeight="1" x14ac:dyDescent="0.2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ht="15" customHeight="1" x14ac:dyDescent="0.2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ht="15" customHeight="1" x14ac:dyDescent="0.2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ht="15" customHeight="1" x14ac:dyDescent="0.2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ht="15" customHeight="1" x14ac:dyDescent="0.2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ht="15" customHeight="1" x14ac:dyDescent="0.2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ht="15" customHeight="1" x14ac:dyDescent="0.2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ht="15" customHeight="1" x14ac:dyDescent="0.2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ht="15" customHeight="1" x14ac:dyDescent="0.2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ht="15" customHeight="1" x14ac:dyDescent="0.2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ht="15" customHeight="1" x14ac:dyDescent="0.2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ht="15" customHeight="1" x14ac:dyDescent="0.2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ht="15" customHeight="1" x14ac:dyDescent="0.2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ht="15" customHeight="1" x14ac:dyDescent="0.2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ht="15" customHeight="1" x14ac:dyDescent="0.25">
      <c r="A20" s="1" t="s">
        <v>36</v>
      </c>
      <c r="B20" s="1" t="s">
        <v>73</v>
      </c>
      <c r="C20" s="1" t="s">
        <v>74</v>
      </c>
      <c r="D20" s="1" t="s">
        <v>16</v>
      </c>
    </row>
    <row r="21" spans="1:7" ht="15" customHeight="1" x14ac:dyDescent="0.2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ht="15" customHeight="1" x14ac:dyDescent="0.25">
      <c r="A22" s="1" t="s">
        <v>13</v>
      </c>
      <c r="B22" s="1" t="s">
        <v>80</v>
      </c>
      <c r="D22" s="1" t="s">
        <v>16</v>
      </c>
    </row>
    <row r="23" spans="1:7" ht="15" customHeight="1" x14ac:dyDescent="0.25">
      <c r="A23" s="1" t="s">
        <v>13</v>
      </c>
      <c r="B23" s="1" t="s">
        <v>81</v>
      </c>
      <c r="C23" s="1" t="s">
        <v>82</v>
      </c>
      <c r="D23" s="1" t="s">
        <v>16</v>
      </c>
    </row>
    <row r="24" spans="1:7" ht="15" customHeight="1" x14ac:dyDescent="0.2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ht="15" customHeight="1" x14ac:dyDescent="0.2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ht="15" customHeight="1" x14ac:dyDescent="0.25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ht="15" customHeight="1" x14ac:dyDescent="0.25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ht="15" customHeight="1" x14ac:dyDescent="0.25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ht="15" customHeight="1" x14ac:dyDescent="0.25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ht="15" customHeight="1" x14ac:dyDescent="0.25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ht="15" customHeight="1" x14ac:dyDescent="0.25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ht="15" customHeight="1" x14ac:dyDescent="0.2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ht="15" customHeight="1" x14ac:dyDescent="0.2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ht="15" customHeight="1" x14ac:dyDescent="0.25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ht="15" customHeight="1" x14ac:dyDescent="0.25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ht="15" customHeight="1" x14ac:dyDescent="0.2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ht="15" customHeight="1" x14ac:dyDescent="0.2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ht="15" customHeight="1" x14ac:dyDescent="0.2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ht="15" customHeight="1" x14ac:dyDescent="0.25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ht="15" customHeight="1" x14ac:dyDescent="0.25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ht="15" customHeight="1" x14ac:dyDescent="0.2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ht="15" customHeight="1" x14ac:dyDescent="0.25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ht="15" customHeight="1" x14ac:dyDescent="0.2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ht="15" customHeight="1" x14ac:dyDescent="0.2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ht="15" customHeight="1" x14ac:dyDescent="0.2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ht="15" customHeight="1" x14ac:dyDescent="0.2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ht="15" customHeight="1" x14ac:dyDescent="0.2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ht="15" customHeight="1" x14ac:dyDescent="0.2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ht="15" customHeight="1" x14ac:dyDescent="0.2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ht="15" customHeight="1" x14ac:dyDescent="0.2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ht="15" customHeight="1" x14ac:dyDescent="0.2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ht="15" customHeight="1" x14ac:dyDescent="0.2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ht="15" customHeight="1" x14ac:dyDescent="0.2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ht="15" customHeight="1" x14ac:dyDescent="0.2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ht="15" customHeight="1" x14ac:dyDescent="0.25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ht="15" customHeight="1" x14ac:dyDescent="0.2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ht="15" customHeight="1" x14ac:dyDescent="0.2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ht="15" customHeight="1" x14ac:dyDescent="0.2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ht="15" customHeight="1" x14ac:dyDescent="0.2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ht="15" customHeight="1" x14ac:dyDescent="0.2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ht="15" customHeight="1" x14ac:dyDescent="0.2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2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2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2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2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2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25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25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25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2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25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2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25">
      <c r="A73" s="1" t="s">
        <v>89</v>
      </c>
      <c r="B73" s="1" t="s">
        <v>138</v>
      </c>
      <c r="D73" s="1" t="s">
        <v>228</v>
      </c>
    </row>
    <row r="74" spans="1:7" x14ac:dyDescent="0.25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25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25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25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25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25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25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25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25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25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25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25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25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25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25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25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25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25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25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25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25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25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25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25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25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25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25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25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25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25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25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25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25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25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25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25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25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25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25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25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25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25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25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25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25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25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25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25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25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25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25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25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25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25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25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25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25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25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25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25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25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25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25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25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25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25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25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25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25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25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25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25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25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25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25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25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25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25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25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25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25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25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25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25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25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25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25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25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25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25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25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25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25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25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25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25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25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25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25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25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25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25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25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25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25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25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25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25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25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25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25">
      <c r="A184" s="1" t="s">
        <v>89</v>
      </c>
      <c r="B184" s="1" t="s">
        <v>138</v>
      </c>
      <c r="D184" s="1" t="s">
        <v>580</v>
      </c>
    </row>
    <row r="185" spans="1:7" x14ac:dyDescent="0.25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25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25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25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25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25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25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25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25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25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25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25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25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25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25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25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25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25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25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25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25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25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25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25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25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25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25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25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25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25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25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25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25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25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25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25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25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25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25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25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25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25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25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25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25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25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25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25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25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25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25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25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25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25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25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25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25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25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25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25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25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25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25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25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25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25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25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25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25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25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25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25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25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25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25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25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25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25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25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25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25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25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25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25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25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25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25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25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25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25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25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25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25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25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25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25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25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25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25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25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25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25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25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25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25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25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25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25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25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25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25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25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25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25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25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25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25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25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25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25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25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25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25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25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25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25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25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25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25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25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25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25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25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25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25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25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25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25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25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25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25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25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25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25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25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25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25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25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25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25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25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25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25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25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25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25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25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25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25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25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25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25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25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25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25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25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25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25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25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25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25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25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25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25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25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25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25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25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25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25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25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25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25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25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25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25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25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25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25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25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25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25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25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25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25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25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25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25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25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25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25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25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25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25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25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25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25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25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25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25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25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25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25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25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25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25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25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25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25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25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25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25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25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25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25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25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25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25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25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25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25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25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25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25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25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25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25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25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25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25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25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25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25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25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25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25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25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25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25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25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25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25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25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25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25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25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25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25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25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25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25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25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25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25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25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25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25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25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25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25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25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25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25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25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25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25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25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25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25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25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25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25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25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25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25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25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25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25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25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25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25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25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25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25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25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25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25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25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25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25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25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25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25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25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25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25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25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25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25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25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25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25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25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25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25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25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25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25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25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25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25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25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25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25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25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25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25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25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25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25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25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25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25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25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25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25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25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25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25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25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25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25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25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25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25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25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25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25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25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25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25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25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25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25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25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25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25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25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25">
      <c r="A543" s="1" t="s">
        <v>89</v>
      </c>
      <c r="B543" s="1" t="s">
        <v>138</v>
      </c>
      <c r="D543" s="1" t="s">
        <v>1654</v>
      </c>
    </row>
    <row r="544" spans="1:7" x14ac:dyDescent="0.25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25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25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25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25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25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25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25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25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25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25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25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25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25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25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25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25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25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25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25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25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25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25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25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25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25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25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25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25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25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25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25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25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25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25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25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25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25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25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25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25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25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25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25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25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25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25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25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25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25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25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25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25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25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25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25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25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25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25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25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25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25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25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25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25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25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25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25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25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25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25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25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25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25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25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25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25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25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25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25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25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25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25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25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25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25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25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25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25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25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25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25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25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25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25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25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25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25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25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25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25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25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25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25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25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25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25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25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25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25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25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25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25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25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25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25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25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25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25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25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25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25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25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25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25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25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25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25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25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25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25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25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25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25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25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25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25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25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25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25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25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25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25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25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25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25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25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25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25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25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25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25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25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25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25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25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25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25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25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25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25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25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25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25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25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25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25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25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25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25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25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25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25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25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25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25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25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25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25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25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25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25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25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25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25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25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25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25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25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25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25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25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25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25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25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25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25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25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25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25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25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25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25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25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25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25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25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25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25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25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25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25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25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25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25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25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25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25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25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25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25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25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25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25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25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25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25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25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25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25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25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25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25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25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25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25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25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25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25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25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25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25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25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25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25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25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25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25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25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25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25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25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25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25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25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25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25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25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25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25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25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25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25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25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25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25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25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25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25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25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25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25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25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25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25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25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25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25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25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25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25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25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25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25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25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25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25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25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25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25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25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25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25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25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25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25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25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25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25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25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25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25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25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25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25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25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25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25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25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25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25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25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25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25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25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25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25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25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25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25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25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25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25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25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25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25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25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25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25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25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25">
      <c r="A874" s="1" t="s">
        <v>89</v>
      </c>
      <c r="B874" s="1" t="s">
        <v>138</v>
      </c>
      <c r="D874" s="1" t="s">
        <v>2730</v>
      </c>
    </row>
    <row r="875" spans="1:7" x14ac:dyDescent="0.25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25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25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25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25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25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25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25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25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25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25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25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25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25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25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25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25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25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25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25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25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25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25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25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25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25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25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25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25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25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25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25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25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25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25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25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25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25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25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25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25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25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25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25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25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25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25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25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25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25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25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25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25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25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25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25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25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25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25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25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25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25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25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25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25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25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25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25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25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25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25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25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25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25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25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25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25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25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25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25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25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25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25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25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25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25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25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25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25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25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25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25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25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25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25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25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25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25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25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25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25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25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25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25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25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25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25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25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25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25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25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25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25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25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25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25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25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25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25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25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25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25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25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25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25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25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25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25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25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25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25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25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25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25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25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25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25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25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25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25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25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25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25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25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25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25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25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25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25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25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25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25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25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25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25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25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25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25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25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25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25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25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25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25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25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25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25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25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25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25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25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25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25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25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25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25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25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25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25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25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25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25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25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25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25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25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25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25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25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25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25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25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25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25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25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25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25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25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25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25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25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25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25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25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25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25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25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25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25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25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25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25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25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25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25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25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25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25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25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25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25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25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25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25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25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25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25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25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25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25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25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25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25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25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25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25">
      <c r="A1110" s="1" t="s">
        <v>21</v>
      </c>
      <c r="B1110" s="1" t="s">
        <v>3514</v>
      </c>
      <c r="D1110" s="1" t="s">
        <v>2387</v>
      </c>
    </row>
    <row r="1111" spans="1:7" x14ac:dyDescent="0.25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25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25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25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25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25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25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25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25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25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25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25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25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25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25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25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25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25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25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25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25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25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25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25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25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25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25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25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25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25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25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25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25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25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25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25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25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25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25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25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25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25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25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25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25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25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25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25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25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25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25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25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25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25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25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25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25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25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25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25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25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25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25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25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25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25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25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25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25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25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25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25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25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25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25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25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25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25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25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25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25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25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25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25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25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25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25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25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25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25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25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25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25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25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25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25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25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25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25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25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25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25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25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25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25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25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25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25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25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25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25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25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25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25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25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25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25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25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25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25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25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25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25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25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25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25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25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25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25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25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25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25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25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25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25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25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25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25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25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25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25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25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25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25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25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25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25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25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25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25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25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25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25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25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25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25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25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25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25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25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25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25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25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25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25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25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25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25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25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25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25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25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25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25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25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25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25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25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25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25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25">
      <c r="A1291" s="1" t="s">
        <v>680</v>
      </c>
      <c r="B1291" s="1" t="s">
        <v>4034</v>
      </c>
      <c r="D1291" s="1" t="s">
        <v>2387</v>
      </c>
    </row>
    <row r="1292" spans="1:7" x14ac:dyDescent="0.25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25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25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25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25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25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25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25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25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25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25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25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25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25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25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25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25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25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25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25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25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25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25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25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25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25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25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25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25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25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25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25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25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25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25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25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25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25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25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25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25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25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25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25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25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25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25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25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25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25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25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25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25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25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25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25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25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25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25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25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25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25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25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25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25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25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25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25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25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25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25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25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25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25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25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25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25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25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25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25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25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25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25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25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25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25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25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25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25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25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25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25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25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25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25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25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25">
      <c r="A1388" s="1" t="s">
        <v>89</v>
      </c>
      <c r="B1388" s="1" t="s">
        <v>138</v>
      </c>
      <c r="D1388" s="1" t="s">
        <v>4360</v>
      </c>
    </row>
    <row r="1389" spans="1:7" x14ac:dyDescent="0.25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25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25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25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25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25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25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25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25">
      <c r="A1397" s="1" t="s">
        <v>30</v>
      </c>
      <c r="B1397" s="1" t="s">
        <v>4401</v>
      </c>
      <c r="D1397" s="1" t="s">
        <v>4398</v>
      </c>
    </row>
    <row r="1398" spans="1:7" x14ac:dyDescent="0.25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25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25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25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25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25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25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25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25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25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25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25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25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25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25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25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25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25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25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25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25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25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25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25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25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25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25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25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25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25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25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25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25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25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25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25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25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25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25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25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25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25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25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25">
      <c r="A1441" s="1" t="s">
        <v>89</v>
      </c>
      <c r="B1441" s="1" t="s">
        <v>4560</v>
      </c>
      <c r="D1441" s="1" t="s">
        <v>4551</v>
      </c>
    </row>
    <row r="1442" spans="1:7" x14ac:dyDescent="0.25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25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25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25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25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25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25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25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25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25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25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25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25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25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25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25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25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25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25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25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25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25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25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25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25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25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25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25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25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25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25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25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25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25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25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25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25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25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25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25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25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25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25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25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25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25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25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25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25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25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25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25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25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25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25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25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25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25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25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25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25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25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25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25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25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25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25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25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25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25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25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25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25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25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25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25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25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25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25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25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25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25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25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25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25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25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25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25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25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25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25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25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25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25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25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25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25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25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25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25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25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25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25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25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25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25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25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25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25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25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25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25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25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25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25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25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25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25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25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25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25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25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25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25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25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25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25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25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25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25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25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25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25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25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25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25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25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25">
      <c r="A1579" s="1" t="s">
        <v>191</v>
      </c>
      <c r="B1579" s="1" t="s">
        <v>5047</v>
      </c>
      <c r="D1579" s="1" t="s">
        <v>10</v>
      </c>
    </row>
    <row r="1580" spans="1:7" x14ac:dyDescent="0.25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25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25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25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25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25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25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25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25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25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25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25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25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25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25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25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25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25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25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25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25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25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25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25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25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25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25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25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25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25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25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25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25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25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25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25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25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25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25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25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25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25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25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25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25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25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25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25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25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25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25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25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25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25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25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25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25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25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25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25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25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25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25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25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25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25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25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25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25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25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25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25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25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25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25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25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25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25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25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25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25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25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25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25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25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25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25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25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25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25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25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25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25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25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25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25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25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25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25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25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25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25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25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25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25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25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25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25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25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25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25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25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25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25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25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25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25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25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25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25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25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25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25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25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25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25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25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25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25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25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25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25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25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25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25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25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25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25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25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25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25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25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25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25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25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25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25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25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25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25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25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25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25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25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25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25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25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25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25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25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25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25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25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25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25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25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25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25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25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25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25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25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25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25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25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25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25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25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25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25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25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25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25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25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25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25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25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25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25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25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25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25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25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25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25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25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25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25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25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25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25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25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25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25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25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25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25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25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25">
      <c r="A1788" s="1" t="s">
        <v>680</v>
      </c>
      <c r="B1788" s="1" t="s">
        <v>5748</v>
      </c>
      <c r="D1788" s="1" t="s">
        <v>1865</v>
      </c>
    </row>
    <row r="1789" spans="1:7" x14ac:dyDescent="0.25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25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25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25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25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25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25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25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25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25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25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25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25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25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25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25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25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25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25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25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25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25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25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25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25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25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25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25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25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25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25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25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25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25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25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25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25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25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25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25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25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25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25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25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25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25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25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25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25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25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25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25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25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25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25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25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25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25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25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25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25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25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25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25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25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25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25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25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25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25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25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25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25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25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25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25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25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25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25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25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25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25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25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25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25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25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25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25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25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25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25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25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25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25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25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25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25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25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25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25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25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25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25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25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25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25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25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25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25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25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25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25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25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25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25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25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25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25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25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25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25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25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25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25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25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25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25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25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25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25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25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25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25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25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25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25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25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25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25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25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25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25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25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25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25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25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25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25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25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25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25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25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25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25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25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25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25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25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25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25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25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25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25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25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25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25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25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25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25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25">
      <c r="A1958" s="1" t="s">
        <v>30</v>
      </c>
      <c r="B1958" s="1" t="s">
        <v>6323</v>
      </c>
      <c r="D1958" s="1" t="s">
        <v>6292</v>
      </c>
    </row>
    <row r="1959" spans="1:7" x14ac:dyDescent="0.25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25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25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25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25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25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25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25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25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25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25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25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25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25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25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25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25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25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25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25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25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25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25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25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25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25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25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25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25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25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25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25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25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25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25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25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25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25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25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25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25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25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25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25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25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25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25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25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25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25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25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25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25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25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25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25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25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25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25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25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25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25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25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25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25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25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25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25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25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25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25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25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25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25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25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25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25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25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25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25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25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25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25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25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25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25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25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25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25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25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25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25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25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25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25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25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25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25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25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25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25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25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25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25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25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25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25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25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25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25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25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25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25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25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25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25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25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25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25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25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25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25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25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25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25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25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25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25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25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25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25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25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25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25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25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25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25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25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25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25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25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25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25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25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25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25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25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25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25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25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25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25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25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25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25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25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25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25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25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25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25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25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25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25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25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25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25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25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25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25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25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25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25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25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25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25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25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25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25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25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25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25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25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25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25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25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25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25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25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25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25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25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25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25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25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25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25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25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25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25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25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25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25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25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25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25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25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25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25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25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25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25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25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25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25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25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25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25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25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25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25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25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25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25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25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25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25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25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25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25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25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25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25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25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25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25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25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25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25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25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25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25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25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25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25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25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25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25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25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25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25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25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25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25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25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25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25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25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25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25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25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25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25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25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25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25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25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25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25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25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25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25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25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25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25">
      <c r="A2233" s="1" t="s">
        <v>89</v>
      </c>
      <c r="B2233" s="1" t="s">
        <v>7231</v>
      </c>
      <c r="D2233" s="1" t="s">
        <v>7202</v>
      </c>
    </row>
    <row r="2234" spans="1:7" x14ac:dyDescent="0.25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25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25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25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25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25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25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25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25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25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25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25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25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25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25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25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25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25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25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25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25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25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25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25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25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25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25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25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25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25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25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25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25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25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25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25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25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25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25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25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25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25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25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25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25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25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25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25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25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25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25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25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25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25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25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25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25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25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25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25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25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25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25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25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25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25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25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25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25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25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25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25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25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25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25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25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25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25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25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25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25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25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25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25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25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25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25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25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25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25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25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25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25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25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25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25">
      <c r="A2329" s="1" t="s">
        <v>13</v>
      </c>
      <c r="B2329" s="1" t="s">
        <v>7566</v>
      </c>
      <c r="D2329" s="1" t="s">
        <v>7388</v>
      </c>
    </row>
    <row r="2330" spans="1:7" x14ac:dyDescent="0.25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25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25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25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25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25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25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25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25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25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25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25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25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25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25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25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25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25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25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25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25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25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25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25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25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25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25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25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25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25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25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25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25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25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25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25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25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25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25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25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25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25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25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25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25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25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25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25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25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25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25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25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25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25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25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25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25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25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25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25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25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25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25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25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25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25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25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25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25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25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25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25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25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25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25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25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25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25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25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25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25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25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25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25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25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25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25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25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25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25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25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25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25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25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25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25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25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25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25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25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25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25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25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25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25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25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25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25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25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25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25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25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25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25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25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25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25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25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25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25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25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25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25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25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25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25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25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25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25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25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25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25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25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25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25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25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25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25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25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25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25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25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25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25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25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25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25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25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25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25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25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25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25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25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25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25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25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25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25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25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25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25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25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25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25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25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25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25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25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25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25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25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25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25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25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25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25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25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25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25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25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25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25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25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25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25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25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25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25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25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25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25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25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25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25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25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25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25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25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25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25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25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25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25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25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25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25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25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25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25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25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25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25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25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25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25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25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25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25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25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25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25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25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25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25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25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25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25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25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25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25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25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25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25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25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25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25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25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25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25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25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25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25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25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25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25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25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25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25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25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25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25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25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25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25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25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25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25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25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25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25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25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25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25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25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25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25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25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25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25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25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25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25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25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25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25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25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25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25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25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25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25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25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25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25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25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25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25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25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25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25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25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25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25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25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25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25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25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25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25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25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25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25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25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25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25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25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25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25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25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25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25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25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25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25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25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25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25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25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25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25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25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25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25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25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25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25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25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25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25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25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25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25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25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25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25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25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25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25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25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25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25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25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25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25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25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25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25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25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25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25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25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25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25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25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25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25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25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25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25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25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25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25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25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25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25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25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25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25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25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25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25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25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25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25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25">
      <c r="A2705" s="1" t="s">
        <v>89</v>
      </c>
      <c r="B2705" s="1" t="s">
        <v>8793</v>
      </c>
      <c r="D2705" s="1" t="s">
        <v>8766</v>
      </c>
    </row>
    <row r="2706" spans="1:7" x14ac:dyDescent="0.25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25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25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25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25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25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25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25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25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25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25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25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25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25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25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25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25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25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25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25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25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25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25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25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25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25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25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25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25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25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25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25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25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25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25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25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25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25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25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25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25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25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25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25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25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25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25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25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25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25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25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25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25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25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25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25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25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25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25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25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25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25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25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25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25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25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25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25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25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25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25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25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25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25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25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25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25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25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25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25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25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25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25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25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25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25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25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25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25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25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25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25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25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25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25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25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25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25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25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25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25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25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25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25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25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25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25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25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25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25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25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25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25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25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25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25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25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25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25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25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25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25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25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25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25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25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25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25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25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25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25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25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25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25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25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25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25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25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25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25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25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25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25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25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25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25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25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25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25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25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25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25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25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25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25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25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25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25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25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25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25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25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25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25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25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25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25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25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25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25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25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25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25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25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25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25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25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25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25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25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25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25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25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25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25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25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25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25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25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25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25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25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25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25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25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25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25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25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25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25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25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25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25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25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25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25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25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25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25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25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25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25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25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25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25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25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25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25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25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25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25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25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25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25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25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25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25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25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25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25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25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25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25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25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25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25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25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25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25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25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25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25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25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25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25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25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25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25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25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25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25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25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25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25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25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25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25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25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25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25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25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25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25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25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25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25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25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25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25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25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25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25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25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25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25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25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25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25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25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25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25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25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25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25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25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25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25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25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25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25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25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25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25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25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25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25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25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25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25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25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25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25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25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25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25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25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25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25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25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25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25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25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25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25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25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25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25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25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25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25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25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25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25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25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25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25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25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25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25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25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25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25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25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25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25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25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25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25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25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25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25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25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25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25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25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25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25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25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25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25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25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25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25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25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25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25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25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25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25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25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25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25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25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25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25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25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25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25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25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25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25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25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25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25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25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25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25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25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25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25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25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25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25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25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25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25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25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25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25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25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25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25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25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25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25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25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25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25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25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25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25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25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25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25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25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25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25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25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25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25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25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25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25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25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25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25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25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25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25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25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25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25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25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25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25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25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25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25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25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25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25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25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25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25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25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25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25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25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25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25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25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25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25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25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25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25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25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25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25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25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25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25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25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25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25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25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25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25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25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25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25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25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25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25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25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25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25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25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25">
      <c r="A3174" s="1" t="s">
        <v>89</v>
      </c>
      <c r="B3174" s="1" t="s">
        <v>138</v>
      </c>
      <c r="D3174" s="1" t="s">
        <v>10077</v>
      </c>
    </row>
    <row r="3175" spans="1:7" x14ac:dyDescent="0.25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25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25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25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25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25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25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25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25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25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25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25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25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25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25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25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25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25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25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25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25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25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25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25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25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25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25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25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25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25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25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25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25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25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25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25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25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25">
      <c r="A3212" s="1" t="s">
        <v>680</v>
      </c>
      <c r="B3212" s="1" t="s">
        <v>10218</v>
      </c>
      <c r="D3212" s="1" t="s">
        <v>10209</v>
      </c>
    </row>
    <row r="3213" spans="1:7" x14ac:dyDescent="0.25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25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25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25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25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25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25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25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25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25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25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25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25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25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25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25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25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25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25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25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25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25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25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25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25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25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25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25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25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25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25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25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25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25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25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25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25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25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25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25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25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25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25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25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25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25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25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25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25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25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25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25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25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25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25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25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25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25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25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25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25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25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25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25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25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25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25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25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25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25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25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25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25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25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25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25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25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25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25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25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25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25">
      <c r="A3294" s="1" t="s">
        <v>89</v>
      </c>
      <c r="B3294" s="1" t="s">
        <v>138</v>
      </c>
      <c r="D3294" s="1" t="s">
        <v>10491</v>
      </c>
    </row>
    <row r="3295" spans="1:7" x14ac:dyDescent="0.25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25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25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25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25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25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25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25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25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25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25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25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25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25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25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25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25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25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25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25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25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25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25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25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25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25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25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25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25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25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25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25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25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25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25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25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25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25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25">
      <c r="A3333" s="1" t="s">
        <v>89</v>
      </c>
      <c r="B3333" s="1" t="s">
        <v>138</v>
      </c>
      <c r="D3333" s="1" t="s">
        <v>10633</v>
      </c>
    </row>
    <row r="3334" spans="1:7" x14ac:dyDescent="0.25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25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25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25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25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25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25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25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25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25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25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25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25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25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25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25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25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25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25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25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25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25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25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25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25">
      <c r="A3358" s="1" t="s">
        <v>89</v>
      </c>
      <c r="B3358" s="1" t="s">
        <v>138</v>
      </c>
      <c r="D3358" s="1" t="s">
        <v>10705</v>
      </c>
    </row>
    <row r="3359" spans="1:7" x14ac:dyDescent="0.25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25">
      <c r="A3360" s="1" t="s">
        <v>30</v>
      </c>
      <c r="B3360" s="1" t="s">
        <v>10737</v>
      </c>
      <c r="D3360" s="1" t="s">
        <v>10705</v>
      </c>
    </row>
    <row r="3361" spans="1:7" x14ac:dyDescent="0.25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25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25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25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25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25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25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25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25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25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25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25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25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25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25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25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25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25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25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25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25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25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25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25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25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25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25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25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25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25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25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25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25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25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25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25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25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25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25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25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25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25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25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25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25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25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25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25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25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25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25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25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25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25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25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25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25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25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25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25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25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25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25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25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25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25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25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25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25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25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25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25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25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25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25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25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25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25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25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25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25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25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25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25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25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25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25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25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25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25">
      <c r="A3450" s="1" t="s">
        <v>13</v>
      </c>
      <c r="B3450" s="1" t="s">
        <v>11037</v>
      </c>
      <c r="D3450" s="1" t="s">
        <v>11025</v>
      </c>
    </row>
    <row r="3451" spans="1:7" x14ac:dyDescent="0.25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25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25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25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25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25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25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25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25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25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25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25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25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25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25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25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25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25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25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25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25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25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25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25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25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25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25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25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25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25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25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25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25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25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25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25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25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25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25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25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25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25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25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25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25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25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25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25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25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25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25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25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25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25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25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25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25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25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25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25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25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25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25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25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25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25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25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25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25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25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25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25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25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25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25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25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25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25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25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25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25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25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25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25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25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25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25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25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25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25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25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25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25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25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25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25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25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25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25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25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25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25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25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25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25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25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25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25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25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25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25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25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25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25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25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25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25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25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25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25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25">
      <c r="A3571" s="1" t="s">
        <v>680</v>
      </c>
      <c r="B3571" s="1" t="s">
        <v>11439</v>
      </c>
      <c r="D3571" s="1" t="s">
        <v>11247</v>
      </c>
    </row>
    <row r="3572" spans="1:7" x14ac:dyDescent="0.25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25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25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25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25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25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25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25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25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25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25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25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25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25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25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25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25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25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25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25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25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25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25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25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25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25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25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25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25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25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25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25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25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25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25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25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25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25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25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25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25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25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25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25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25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25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25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25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25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25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25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25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25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25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25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25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25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25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25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25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25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25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25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25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25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25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25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25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25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25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25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25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25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25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25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25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25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25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25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25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25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25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25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25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25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25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25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25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25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25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25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25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25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25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25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25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25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25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25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25">
      <c r="A3671" s="1" t="s">
        <v>89</v>
      </c>
      <c r="B3671" s="1" t="s">
        <v>138</v>
      </c>
      <c r="D3671" s="1" t="s">
        <v>11719</v>
      </c>
    </row>
    <row r="3672" spans="1:7" x14ac:dyDescent="0.25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25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25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25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25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25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25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25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25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25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25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25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25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25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25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25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25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25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25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25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25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25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25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25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25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25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25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25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25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25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25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25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25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25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25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25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25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25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25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25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25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25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25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25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25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25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25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25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25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25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25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25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25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25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25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25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25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25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25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25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25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25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25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25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25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25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25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25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25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25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25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25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25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25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25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25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25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25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25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25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25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25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25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25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25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25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25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25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25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25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25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25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25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25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25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25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25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25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25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25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25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25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25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25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25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25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25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25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25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25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25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25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25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25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25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25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25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25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25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25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25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25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25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25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25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25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25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25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25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25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25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25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25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25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25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25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25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25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25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25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25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25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25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25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25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25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25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25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25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25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25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25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25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25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25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25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25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25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25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25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25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25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25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25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25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25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25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25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25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25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25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25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25">
      <c r="A3844" s="1" t="s">
        <v>13</v>
      </c>
      <c r="B3844" s="1" t="s">
        <v>12299</v>
      </c>
      <c r="D3844" s="1" t="s">
        <v>12294</v>
      </c>
    </row>
    <row r="3845" spans="1:7" x14ac:dyDescent="0.25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25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25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25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25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25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25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25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25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25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25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25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25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25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25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25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25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25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25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25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25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25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25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25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25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25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25">
      <c r="A3871" s="1" t="s">
        <v>89</v>
      </c>
      <c r="B3871" s="1" t="s">
        <v>138</v>
      </c>
      <c r="D3871" s="1" t="s">
        <v>12386</v>
      </c>
    </row>
    <row r="3872" spans="1:7" x14ac:dyDescent="0.25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25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25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25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25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25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25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25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25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25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25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25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25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25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25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25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25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25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25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25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25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25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25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25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25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25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25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25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25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25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25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25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25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25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25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25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25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25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25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25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25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25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25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25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25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25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25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25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25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25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25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25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25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25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25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25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25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25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25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25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25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25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25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25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25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25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25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25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25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25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25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25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25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25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25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25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25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25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25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25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25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25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25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25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25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25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25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25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25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25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25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25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25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25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25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25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25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25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25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25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25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25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25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25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25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25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25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25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25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25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25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25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25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25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25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25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25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25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25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25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25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25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25">
      <c r="A3994" s="1" t="s">
        <v>680</v>
      </c>
      <c r="B3994" s="1" t="s">
        <v>12804</v>
      </c>
      <c r="D3994" s="1" t="s">
        <v>12805</v>
      </c>
    </row>
    <row r="3995" spans="1:7" x14ac:dyDescent="0.25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25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25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25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25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25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25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25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25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25">
      <c r="A4004" s="1" t="s">
        <v>680</v>
      </c>
      <c r="B4004" s="1" t="s">
        <v>12834</v>
      </c>
      <c r="D4004" s="1" t="s">
        <v>12805</v>
      </c>
    </row>
    <row r="4005" spans="1:7" x14ac:dyDescent="0.25">
      <c r="A4005" s="1" t="s">
        <v>680</v>
      </c>
      <c r="B4005" s="1" t="s">
        <v>1177</v>
      </c>
      <c r="D4005" s="1" t="s">
        <v>12805</v>
      </c>
    </row>
    <row r="4006" spans="1:7" x14ac:dyDescent="0.25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25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25">
      <c r="A4008" s="1" t="s">
        <v>680</v>
      </c>
      <c r="B4008" s="1" t="s">
        <v>12838</v>
      </c>
      <c r="D4008" s="1" t="s">
        <v>12805</v>
      </c>
    </row>
    <row r="4009" spans="1:7" x14ac:dyDescent="0.25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25">
      <c r="A4010" s="1" t="s">
        <v>680</v>
      </c>
      <c r="B4010" s="1" t="s">
        <v>12839</v>
      </c>
      <c r="D4010" s="1" t="s">
        <v>12805</v>
      </c>
    </row>
    <row r="4011" spans="1:7" x14ac:dyDescent="0.25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25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25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25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25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25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25">
      <c r="A4017" s="1" t="s">
        <v>680</v>
      </c>
      <c r="B4017" s="1" t="s">
        <v>12850</v>
      </c>
      <c r="D4017" s="1" t="s">
        <v>12805</v>
      </c>
    </row>
    <row r="4018" spans="1:7" x14ac:dyDescent="0.25">
      <c r="A4018" s="1" t="s">
        <v>680</v>
      </c>
      <c r="B4018" s="1" t="s">
        <v>12851</v>
      </c>
      <c r="D4018" s="1" t="s">
        <v>12805</v>
      </c>
    </row>
    <row r="4019" spans="1:7" x14ac:dyDescent="0.25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25">
      <c r="A4020" s="1" t="s">
        <v>680</v>
      </c>
      <c r="B4020" s="1" t="s">
        <v>12854</v>
      </c>
      <c r="D4020" s="1" t="s">
        <v>12805</v>
      </c>
    </row>
    <row r="4021" spans="1:7" x14ac:dyDescent="0.25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25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25">
      <c r="A4023" s="1" t="s">
        <v>680</v>
      </c>
      <c r="B4023" s="1" t="s">
        <v>11436</v>
      </c>
      <c r="D4023" s="1" t="s">
        <v>12805</v>
      </c>
    </row>
    <row r="4024" spans="1:7" x14ac:dyDescent="0.25">
      <c r="A4024" s="1" t="s">
        <v>680</v>
      </c>
      <c r="B4024" s="1" t="s">
        <v>12859</v>
      </c>
      <c r="D4024" s="1" t="s">
        <v>12805</v>
      </c>
    </row>
    <row r="4025" spans="1:7" x14ac:dyDescent="0.25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25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25">
      <c r="A4027" s="1" t="s">
        <v>680</v>
      </c>
      <c r="B4027" s="1" t="s">
        <v>12862</v>
      </c>
      <c r="D4027" s="1" t="s">
        <v>12805</v>
      </c>
    </row>
    <row r="4028" spans="1:7" x14ac:dyDescent="0.25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25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25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25">
      <c r="A4031" s="1" t="s">
        <v>680</v>
      </c>
      <c r="B4031" s="1" t="s">
        <v>12869</v>
      </c>
      <c r="D4031" s="1" t="s">
        <v>12805</v>
      </c>
    </row>
    <row r="4032" spans="1:7" x14ac:dyDescent="0.25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25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25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25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25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25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25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25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25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25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25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25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25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25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25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25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25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25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25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25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25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25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25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25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25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25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25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25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25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25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25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25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25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25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25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25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25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25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25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25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25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25">
      <c r="A4073" s="1" t="s">
        <v>680</v>
      </c>
      <c r="B4073" s="1" t="s">
        <v>12997</v>
      </c>
      <c r="D4073" s="1" t="s">
        <v>12805</v>
      </c>
    </row>
    <row r="4074" spans="1:7" x14ac:dyDescent="0.25">
      <c r="A4074" s="1" t="s">
        <v>680</v>
      </c>
      <c r="B4074" s="1" t="s">
        <v>12998</v>
      </c>
      <c r="D4074" s="1" t="s">
        <v>12805</v>
      </c>
    </row>
    <row r="4075" spans="1:7" x14ac:dyDescent="0.25">
      <c r="A4075" s="1" t="s">
        <v>680</v>
      </c>
      <c r="B4075" s="1" t="s">
        <v>12999</v>
      </c>
      <c r="D4075" s="1" t="s">
        <v>12805</v>
      </c>
    </row>
    <row r="4076" spans="1:7" x14ac:dyDescent="0.25">
      <c r="A4076" s="1" t="s">
        <v>680</v>
      </c>
      <c r="B4076" s="1" t="s">
        <v>13000</v>
      </c>
      <c r="D4076" s="1" t="s">
        <v>12805</v>
      </c>
    </row>
    <row r="4077" spans="1:7" x14ac:dyDescent="0.25">
      <c r="A4077" s="1" t="s">
        <v>680</v>
      </c>
      <c r="B4077" s="1" t="s">
        <v>13001</v>
      </c>
      <c r="D4077" s="1" t="s">
        <v>12805</v>
      </c>
    </row>
    <row r="4078" spans="1:7" x14ac:dyDescent="0.25">
      <c r="A4078" s="1" t="s">
        <v>680</v>
      </c>
      <c r="B4078" s="1" t="s">
        <v>13002</v>
      </c>
      <c r="D4078" s="1" t="s">
        <v>12805</v>
      </c>
    </row>
    <row r="4079" spans="1:7" x14ac:dyDescent="0.25">
      <c r="A4079" s="1" t="s">
        <v>680</v>
      </c>
      <c r="B4079" s="1" t="s">
        <v>13003</v>
      </c>
      <c r="D4079" s="1" t="s">
        <v>12805</v>
      </c>
    </row>
    <row r="4080" spans="1:7" x14ac:dyDescent="0.25">
      <c r="A4080" s="1" t="s">
        <v>680</v>
      </c>
      <c r="B4080" s="1" t="s">
        <v>13004</v>
      </c>
      <c r="D4080" s="1" t="s">
        <v>12805</v>
      </c>
    </row>
    <row r="4081" spans="1:7" x14ac:dyDescent="0.25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25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25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25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25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25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25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25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25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25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25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25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25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25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25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25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25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25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25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25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25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25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25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25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25">
      <c r="A4105" s="1" t="s">
        <v>13</v>
      </c>
      <c r="B4105" s="1" t="s">
        <v>13066</v>
      </c>
      <c r="D4105" s="1" t="s">
        <v>13030</v>
      </c>
    </row>
    <row r="4106" spans="1:7" x14ac:dyDescent="0.25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25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25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25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25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25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25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25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25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25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25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25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25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25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25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25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25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25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25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25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25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25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25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25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25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25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25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25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25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25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25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25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25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25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25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25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25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25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25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25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25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25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25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25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25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25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25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25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25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25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25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25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25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25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25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25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25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25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25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25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25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25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25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25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25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25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25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25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25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25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25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25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25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25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25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25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25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25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25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25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25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25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25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25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25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25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25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25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25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25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25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25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25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25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25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25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25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25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25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25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25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25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25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25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25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25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25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25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25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25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25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25">
      <c r="A4217" s="1" t="s">
        <v>89</v>
      </c>
      <c r="B4217" s="1" t="s">
        <v>13405</v>
      </c>
      <c r="D4217" s="1" t="s">
        <v>13302</v>
      </c>
    </row>
    <row r="4218" spans="1:7" x14ac:dyDescent="0.25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25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25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25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25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25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25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25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25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25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25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25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25">
      <c r="A4230" s="1" t="s">
        <v>83</v>
      </c>
      <c r="B4230" s="1" t="s">
        <v>13443</v>
      </c>
      <c r="D4230" s="1" t="s">
        <v>6074</v>
      </c>
    </row>
    <row r="4231" spans="1:7" x14ac:dyDescent="0.25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25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25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25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25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25">
      <c r="A4236" s="1" t="s">
        <v>36</v>
      </c>
      <c r="B4236" s="1" t="s">
        <v>13457</v>
      </c>
      <c r="D4236" s="1" t="s">
        <v>6074</v>
      </c>
    </row>
    <row r="4237" spans="1:7" x14ac:dyDescent="0.25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25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25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25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25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25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25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25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25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25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25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25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25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25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25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25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25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25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25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25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25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25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25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25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25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25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25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25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25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25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25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25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25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25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25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25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25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25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25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25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25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25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25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25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25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25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25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25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25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25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25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25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25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25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25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25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25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25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25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25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25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25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25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25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25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25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25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25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25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25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25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25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25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25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25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25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25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25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25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25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25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25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25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25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25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25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25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25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25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25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25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25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25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25">
      <c r="A4330" s="1" t="s">
        <v>89</v>
      </c>
      <c r="B4330" s="1" t="s">
        <v>138</v>
      </c>
      <c r="D4330" s="1" t="s">
        <v>13761</v>
      </c>
    </row>
    <row r="4331" spans="1:7" x14ac:dyDescent="0.25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25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25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25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25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25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25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25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25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25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25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25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25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25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25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25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25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25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25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25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25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25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25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25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25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25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25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25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25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25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25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25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25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25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25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25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25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25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25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25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25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25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25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25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25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25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25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25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25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25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25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25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25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25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25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25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25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25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25">
      <c r="A4389" s="1" t="s">
        <v>89</v>
      </c>
      <c r="B4389" s="1" t="s">
        <v>138</v>
      </c>
      <c r="D4389" s="1" t="s">
        <v>13951</v>
      </c>
    </row>
    <row r="4390" spans="1:7" x14ac:dyDescent="0.25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25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25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25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25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25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25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25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25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25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25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25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25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25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25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25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25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25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25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25">
      <c r="A4409" s="1" t="s">
        <v>36</v>
      </c>
      <c r="B4409" s="1" t="s">
        <v>14029</v>
      </c>
      <c r="D4409" s="1" t="s">
        <v>13951</v>
      </c>
    </row>
    <row r="4410" spans="1:7" x14ac:dyDescent="0.25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25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25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25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25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25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25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25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25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25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25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25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25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25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25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25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25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25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25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25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25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25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25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25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25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25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25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25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25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25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25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25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25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25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25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25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25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25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25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25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25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25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25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25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25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25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25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25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25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25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25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25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25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25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25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25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25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25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25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25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25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25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25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25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25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25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25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25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25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25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25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25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25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25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25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25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25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25">
      <c r="A4487" s="1" t="s">
        <v>89</v>
      </c>
      <c r="B4487" s="1" t="s">
        <v>138</v>
      </c>
      <c r="D4487" s="1" t="s">
        <v>14281</v>
      </c>
    </row>
    <row r="4488" spans="1:7" x14ac:dyDescent="0.25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25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25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25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25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25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25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25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25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25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25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25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25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25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25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25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25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25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25">
      <c r="A4506" s="1" t="s">
        <v>30</v>
      </c>
      <c r="B4506" s="1" t="s">
        <v>14336</v>
      </c>
      <c r="D4506" s="1" t="s">
        <v>14281</v>
      </c>
    </row>
    <row r="4507" spans="1:7" x14ac:dyDescent="0.25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25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25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25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25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25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25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25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25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25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25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25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25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25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25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25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25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25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25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25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25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25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25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25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25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25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25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25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25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25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25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25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25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25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25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25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25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25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25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25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25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25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25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25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25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25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25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25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25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25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25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25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25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25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25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25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25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25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25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25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25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25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25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25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25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25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25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25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25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25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25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25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25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25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25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25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25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25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25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25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25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25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25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25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25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25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25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25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25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25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25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25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25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25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25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25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25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25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25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25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25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25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25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25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25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25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25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25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25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25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25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25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25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25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25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25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25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25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25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25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25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25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25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25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25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25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25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25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25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25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25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25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25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25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25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25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25">
      <c r="A4643" s="1" t="s">
        <v>13</v>
      </c>
      <c r="B4643" s="1" t="s">
        <v>14803</v>
      </c>
      <c r="D4643" s="1" t="s">
        <v>14581</v>
      </c>
    </row>
    <row r="4644" spans="1:7" x14ac:dyDescent="0.25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25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25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25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25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25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25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25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25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25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25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25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25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25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25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25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25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25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25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25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25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25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25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25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25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25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25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25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25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25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25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25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25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25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25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25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25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25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25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25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25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25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25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25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25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25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25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25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25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25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25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25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25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25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25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25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25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25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25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25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25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25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25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25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25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25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25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25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25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25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25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25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25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25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25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25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25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25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25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25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25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25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25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25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25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25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25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25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25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25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25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25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25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25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25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25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25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25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25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25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25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25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25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25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25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25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25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25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25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25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25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25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25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25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25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25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25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25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25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25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25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25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25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25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25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25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25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25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25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25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25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25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25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25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25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25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25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25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25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25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25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25">
      <c r="A4785" s="1" t="s">
        <v>21</v>
      </c>
      <c r="B4785" s="1" t="s">
        <v>15258</v>
      </c>
      <c r="D4785" s="1" t="s">
        <v>15254</v>
      </c>
    </row>
    <row r="4786" spans="1:7" x14ac:dyDescent="0.25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25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25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25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25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25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25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25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25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25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25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25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25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25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25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25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25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25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25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25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25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25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25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25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25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25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25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25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25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25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25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25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25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25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25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25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25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25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25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25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25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25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25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25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25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25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25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25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25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25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25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25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25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25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25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25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25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25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25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25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25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25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25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25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25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25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25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25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25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25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25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25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25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25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25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25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25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25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25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25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25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25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25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25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25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25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25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25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25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25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25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25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25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25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25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25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25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25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25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25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25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25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25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25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25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25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25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25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25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25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25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25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25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25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25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25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25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25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25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25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25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25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25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25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25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25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25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25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25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25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25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25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25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25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25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25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25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25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25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25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25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25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25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25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25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25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25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25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25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25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25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25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25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25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25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25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25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25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25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25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25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25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25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25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25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25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25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25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25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25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25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25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25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25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25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25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25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25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25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25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25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25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25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25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25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25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25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25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25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25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25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25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25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25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25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25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25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25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25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25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25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25">
      <c r="A4987" s="1" t="s">
        <v>680</v>
      </c>
      <c r="B4987" s="1" t="s">
        <v>15867</v>
      </c>
      <c r="D4987" s="1" t="s">
        <v>15590</v>
      </c>
    </row>
    <row r="4988" spans="1:7" x14ac:dyDescent="0.25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25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25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25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25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25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25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25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25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25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25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25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25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25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25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25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25">
      <c r="A5004" s="1" t="s">
        <v>680</v>
      </c>
      <c r="B5004" s="1" t="s">
        <v>15892</v>
      </c>
      <c r="D5004" s="1" t="s">
        <v>15590</v>
      </c>
    </row>
    <row r="5005" spans="1:7" x14ac:dyDescent="0.25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25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25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25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25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25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25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25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25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25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25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25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25">
      <c r="A5017" s="1" t="s">
        <v>680</v>
      </c>
      <c r="B5017" s="1" t="s">
        <v>15916</v>
      </c>
      <c r="D5017" s="1" t="s">
        <v>15590</v>
      </c>
    </row>
    <row r="5018" spans="1:7" x14ac:dyDescent="0.25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25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25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25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25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25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25">
      <c r="A5024" s="1" t="s">
        <v>680</v>
      </c>
      <c r="B5024" s="1" t="s">
        <v>15933</v>
      </c>
      <c r="D5024" s="1" t="s">
        <v>15590</v>
      </c>
    </row>
    <row r="5025" spans="1:7" x14ac:dyDescent="0.25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25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25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25">
      <c r="A5028" s="1" t="s">
        <v>680</v>
      </c>
      <c r="B5028" s="1" t="s">
        <v>15942</v>
      </c>
      <c r="D5028" s="1" t="s">
        <v>15590</v>
      </c>
    </row>
    <row r="5029" spans="1:7" x14ac:dyDescent="0.25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25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25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25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25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25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25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25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25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25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25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25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25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25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25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25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25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25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25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25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25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25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25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25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25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25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25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25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25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25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25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25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25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25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25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25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25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25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25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25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25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25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25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25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25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25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25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25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25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25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25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25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25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25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25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25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25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25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25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25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25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25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25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25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25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25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25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25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25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25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25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25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25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25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25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25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25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25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25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25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25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25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25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25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25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25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25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25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25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25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25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25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25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25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25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25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25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25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25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25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25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25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25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25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25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25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25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25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25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25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25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25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25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25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25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25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25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25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25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25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25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25">
      <c r="A5150" s="1" t="s">
        <v>83</v>
      </c>
      <c r="B5150" s="1" t="s">
        <v>3271</v>
      </c>
      <c r="D5150" s="1" t="s">
        <v>16318</v>
      </c>
    </row>
    <row r="5151" spans="1:7" x14ac:dyDescent="0.25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25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25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25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25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25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25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25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25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25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25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25">
      <c r="A5162" s="1" t="s">
        <v>191</v>
      </c>
      <c r="B5162" s="1" t="s">
        <v>16380</v>
      </c>
      <c r="D5162" s="1" t="s">
        <v>16318</v>
      </c>
    </row>
    <row r="5163" spans="1:7" x14ac:dyDescent="0.25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25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25">
      <c r="A5165" s="1" t="s">
        <v>301</v>
      </c>
      <c r="B5165" s="1" t="s">
        <v>16384</v>
      </c>
      <c r="D5165" s="1" t="s">
        <v>16318</v>
      </c>
    </row>
    <row r="5166" spans="1:7" x14ac:dyDescent="0.25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25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25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25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25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25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25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25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25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25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25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25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25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25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25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25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25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25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25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25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25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25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25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25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25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25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25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25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25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25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25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25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25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25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25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25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25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25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25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25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25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25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25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25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25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25">
      <c r="A5211" s="1" t="s">
        <v>36</v>
      </c>
      <c r="B5211" s="1" t="s">
        <v>16541</v>
      </c>
      <c r="D5211" s="1" t="s">
        <v>16446</v>
      </c>
    </row>
    <row r="5212" spans="1:7" x14ac:dyDescent="0.25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25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25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25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25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25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25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25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25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25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25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25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25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25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25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25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25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25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25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25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25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25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25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25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25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25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25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25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25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25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25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25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25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25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25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25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25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25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25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25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25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25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25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25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25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25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25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25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25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25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25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25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25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25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25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25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25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25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25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25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25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25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25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25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25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25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25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25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25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25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25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25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25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25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25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25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25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25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25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25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25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25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25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25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25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25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25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25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25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25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25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25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25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25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25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25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25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25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25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25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25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25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25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25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25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25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25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25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25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25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25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25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25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25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25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25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25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25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25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25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25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25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25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25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25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25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25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25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25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25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25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25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25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25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25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25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25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25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25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25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25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25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25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25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25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25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25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25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25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25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25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25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25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25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25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25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25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25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25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25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25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25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25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25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25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25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25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25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25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25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25">
      <c r="A5382" s="1" t="s">
        <v>680</v>
      </c>
      <c r="B5382" s="1" t="s">
        <v>17110</v>
      </c>
      <c r="D5382" s="1" t="s">
        <v>15825</v>
      </c>
    </row>
    <row r="5383" spans="1:7" x14ac:dyDescent="0.25">
      <c r="A5383" s="1" t="s">
        <v>680</v>
      </c>
      <c r="B5383" s="1" t="s">
        <v>17111</v>
      </c>
      <c r="D5383" s="1" t="s">
        <v>15825</v>
      </c>
    </row>
    <row r="5384" spans="1:7" x14ac:dyDescent="0.25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25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25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25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25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25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25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25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25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25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25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25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25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25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25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25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25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25">
      <c r="A5401" s="1" t="s">
        <v>680</v>
      </c>
      <c r="B5401" s="1" t="s">
        <v>17148</v>
      </c>
      <c r="D5401" s="1" t="s">
        <v>15825</v>
      </c>
    </row>
    <row r="5402" spans="1:7" x14ac:dyDescent="0.25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25">
      <c r="A5403" s="1" t="s">
        <v>680</v>
      </c>
      <c r="B5403" s="1" t="s">
        <v>17152</v>
      </c>
      <c r="D5403" s="1" t="s">
        <v>15825</v>
      </c>
    </row>
    <row r="5404" spans="1:7" x14ac:dyDescent="0.25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25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25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25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25">
      <c r="A5408" s="1" t="s">
        <v>680</v>
      </c>
      <c r="B5408" s="1" t="s">
        <v>17164</v>
      </c>
      <c r="D5408" s="1" t="s">
        <v>15825</v>
      </c>
    </row>
    <row r="5409" spans="1:7" x14ac:dyDescent="0.25">
      <c r="A5409" s="1" t="s">
        <v>680</v>
      </c>
      <c r="B5409" s="1" t="s">
        <v>17165</v>
      </c>
      <c r="D5409" s="1" t="s">
        <v>15825</v>
      </c>
    </row>
    <row r="5410" spans="1:7" x14ac:dyDescent="0.25">
      <c r="A5410" s="1" t="s">
        <v>680</v>
      </c>
      <c r="B5410" s="1" t="s">
        <v>17166</v>
      </c>
      <c r="D5410" s="1" t="s">
        <v>15825</v>
      </c>
    </row>
    <row r="5411" spans="1:7" x14ac:dyDescent="0.25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25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25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25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25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25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25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25">
      <c r="A5418" s="1" t="s">
        <v>680</v>
      </c>
      <c r="B5418" s="1" t="s">
        <v>17182</v>
      </c>
      <c r="D5418" s="1" t="s">
        <v>15825</v>
      </c>
    </row>
    <row r="5419" spans="1:7" x14ac:dyDescent="0.25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25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25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25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25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25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25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25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25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25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25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25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25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25">
      <c r="A5432" s="1" t="s">
        <v>680</v>
      </c>
      <c r="B5432" s="1" t="s">
        <v>17217</v>
      </c>
      <c r="D5432" s="1" t="s">
        <v>15825</v>
      </c>
    </row>
    <row r="5433" spans="1:7" x14ac:dyDescent="0.25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25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25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25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25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25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25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25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25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25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25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25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25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25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25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25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25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25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25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25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25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25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25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25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25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25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25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25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25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25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25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25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25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25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25">
      <c r="A5467" s="1" t="s">
        <v>680</v>
      </c>
      <c r="B5467" s="1" t="s">
        <v>17316</v>
      </c>
      <c r="D5467" s="1" t="s">
        <v>15825</v>
      </c>
    </row>
    <row r="5468" spans="1:7" x14ac:dyDescent="0.25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25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25">
      <c r="A5470" s="1" t="s">
        <v>680</v>
      </c>
      <c r="B5470" s="1" t="s">
        <v>17320</v>
      </c>
      <c r="D5470" s="1" t="s">
        <v>15825</v>
      </c>
    </row>
    <row r="5471" spans="1:7" x14ac:dyDescent="0.25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25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25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25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25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25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25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25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25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25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25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25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25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25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25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25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25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25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25">
      <c r="A5489" s="1" t="s">
        <v>680</v>
      </c>
      <c r="B5489" s="1" t="s">
        <v>12868</v>
      </c>
      <c r="D5489" s="1" t="s">
        <v>15825</v>
      </c>
    </row>
    <row r="5490" spans="1:7" x14ac:dyDescent="0.25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25">
      <c r="A5491" s="1" t="s">
        <v>680</v>
      </c>
      <c r="B5491" s="1" t="s">
        <v>17363</v>
      </c>
      <c r="D5491" s="1" t="s">
        <v>15825</v>
      </c>
    </row>
    <row r="5492" spans="1:7" x14ac:dyDescent="0.25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25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25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25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25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25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25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25">
      <c r="A5499" s="1" t="s">
        <v>680</v>
      </c>
      <c r="B5499" s="1" t="s">
        <v>17380</v>
      </c>
      <c r="D5499" s="1" t="s">
        <v>15825</v>
      </c>
    </row>
    <row r="5500" spans="1:7" x14ac:dyDescent="0.25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25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25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25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25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25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25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25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25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25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25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25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25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25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25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25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25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25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25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25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25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25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25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25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25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25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25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25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25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25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25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25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25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25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25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25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25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25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25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25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25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25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25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25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25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25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25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25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25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25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25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25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25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25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25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25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25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25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25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25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25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25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25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25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25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25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25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25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25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25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25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25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25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25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25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25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25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25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25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25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25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25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25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25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25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25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25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25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25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25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25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25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25">
      <c r="A5592" s="1" t="s">
        <v>36</v>
      </c>
      <c r="B5592" s="1" t="s">
        <v>17675</v>
      </c>
      <c r="D5592" s="1" t="s">
        <v>17666</v>
      </c>
    </row>
    <row r="5593" spans="1:7" x14ac:dyDescent="0.25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25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25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25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25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25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25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25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25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25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25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25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25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25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25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25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25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25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25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25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25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25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25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25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25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25">
      <c r="A5618" s="1" t="s">
        <v>13</v>
      </c>
      <c r="B5618" s="1" t="s">
        <v>17757</v>
      </c>
      <c r="D5618" s="1" t="s">
        <v>17752</v>
      </c>
    </row>
    <row r="5619" spans="1:7" x14ac:dyDescent="0.25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25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25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25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25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25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25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25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25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25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25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25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25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25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25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25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25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25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25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25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25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25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25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25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25">
      <c r="A5643" s="1" t="s">
        <v>89</v>
      </c>
      <c r="B5643" s="1" t="s">
        <v>138</v>
      </c>
      <c r="D5643" s="1" t="s">
        <v>17830</v>
      </c>
    </row>
    <row r="5644" spans="1:7" x14ac:dyDescent="0.25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25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25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25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25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25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25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25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25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25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25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25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25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25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25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25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25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25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25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25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25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25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25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25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25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25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25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25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25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25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25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25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25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25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25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25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25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25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25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25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25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25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25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25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25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25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25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25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25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25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25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25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25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25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25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25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25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25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25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25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25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25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25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25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25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25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25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25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25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25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25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25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25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25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25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25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25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25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25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25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25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25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25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25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25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25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25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25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25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25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25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25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25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25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25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25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25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25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25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25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25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25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25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25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25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25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25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25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25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25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25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25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25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25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25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25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25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25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25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25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25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25">
      <c r="A5765" s="1" t="s">
        <v>83</v>
      </c>
      <c r="B5765" s="1" t="s">
        <v>18209</v>
      </c>
      <c r="D5765" s="1" t="s">
        <v>17939</v>
      </c>
    </row>
    <row r="5766" spans="1:7" x14ac:dyDescent="0.25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25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25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25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25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25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25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25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25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25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25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25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25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25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25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25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25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25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25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25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25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25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25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25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25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25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25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25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25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25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25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25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25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25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25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25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25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25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25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25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25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25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25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25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25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25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25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25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25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25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25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25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25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25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25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25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25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25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25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25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25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25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25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25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25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25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25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25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25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25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25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25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25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25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25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25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25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25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25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25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25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25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25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25">
      <c r="A5849" s="1" t="s">
        <v>89</v>
      </c>
      <c r="B5849" s="1" t="s">
        <v>138</v>
      </c>
      <c r="D5849" s="1" t="s">
        <v>18496</v>
      </c>
    </row>
    <row r="5850" spans="1:7" x14ac:dyDescent="0.25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25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25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25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25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25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25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25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25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25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25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25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25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25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25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25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25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25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25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25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25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25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25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25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25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25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25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25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25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25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25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25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25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25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25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25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25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25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25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25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25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25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25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25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25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25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25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25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25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25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25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25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25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25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25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25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25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25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25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25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25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25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25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25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25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25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25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25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25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25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25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25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25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25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25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25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25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25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25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25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25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25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25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25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25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25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25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25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25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25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25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25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25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25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25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25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25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25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25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25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25">
      <c r="A5950" s="1" t="s">
        <v>89</v>
      </c>
      <c r="B5950" s="1" t="s">
        <v>18838</v>
      </c>
      <c r="D5950" s="1" t="s">
        <v>18836</v>
      </c>
    </row>
    <row r="5951" spans="1:7" x14ac:dyDescent="0.25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25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25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25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25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25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25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25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25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25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25">
      <c r="A5961" s="1" t="s">
        <v>89</v>
      </c>
      <c r="B5961" s="1" t="s">
        <v>138</v>
      </c>
      <c r="D5961" s="1" t="s">
        <v>18874</v>
      </c>
    </row>
    <row r="5962" spans="1:7" x14ac:dyDescent="0.25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25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25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25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25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25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25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25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25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25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25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25">
      <c r="A5973" s="1" t="s">
        <v>89</v>
      </c>
      <c r="B5973" s="1" t="s">
        <v>138</v>
      </c>
      <c r="D5973" s="1" t="s">
        <v>18904</v>
      </c>
    </row>
    <row r="5974" spans="1:7" x14ac:dyDescent="0.25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25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25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25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25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25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25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25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25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25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25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25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25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25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25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25">
      <c r="A5989" s="1" t="s">
        <v>680</v>
      </c>
      <c r="B5989" s="1" t="s">
        <v>18964</v>
      </c>
      <c r="D5989" s="1" t="s">
        <v>18951</v>
      </c>
    </row>
    <row r="5990" spans="1:7" x14ac:dyDescent="0.25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25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25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25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25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25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25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25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25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25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25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25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25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25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25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25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25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25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25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25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25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25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25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25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25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25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25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25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25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25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25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25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25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25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25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25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25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25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25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25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25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25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25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25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25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25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25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25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25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25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25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25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25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25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25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25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25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25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25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25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25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25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25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25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25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25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25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25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25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25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25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25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25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25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25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25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25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25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25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25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25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25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25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25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25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25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25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25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25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25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25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25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25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25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25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25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25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25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25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25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25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25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25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25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25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25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25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25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25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25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25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25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25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25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25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25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25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25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25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25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25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25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25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25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25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25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25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25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25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25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25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25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25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25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25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25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25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25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25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25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25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25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25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25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25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25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25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25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25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25">
      <c r="A6139" s="1" t="s">
        <v>680</v>
      </c>
      <c r="B6139" s="1" t="s">
        <v>19347</v>
      </c>
      <c r="D6139" s="1" t="s">
        <v>19290</v>
      </c>
    </row>
    <row r="6140" spans="1:7" x14ac:dyDescent="0.25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25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25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25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25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25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25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25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25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25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25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25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25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25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25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25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25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25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25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25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25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25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25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25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25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25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25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25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25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25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25">
      <c r="A6170" s="1" t="s">
        <v>680</v>
      </c>
      <c r="B6170" s="1" t="s">
        <v>19443</v>
      </c>
      <c r="D6170" s="1" t="s">
        <v>19290</v>
      </c>
    </row>
    <row r="6171" spans="1:7" x14ac:dyDescent="0.25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25">
      <c r="A6172" s="1" t="s">
        <v>680</v>
      </c>
      <c r="B6172" s="1" t="s">
        <v>19445</v>
      </c>
      <c r="D6172" s="1" t="s">
        <v>19290</v>
      </c>
    </row>
    <row r="6173" spans="1:7" x14ac:dyDescent="0.25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25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25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25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25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25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25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25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25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25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25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25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25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25">
      <c r="A6186" s="1" t="s">
        <v>680</v>
      </c>
      <c r="B6186" s="1" t="s">
        <v>12844</v>
      </c>
      <c r="D6186" s="1" t="s">
        <v>19290</v>
      </c>
    </row>
    <row r="6187" spans="1:7" x14ac:dyDescent="0.25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25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25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25">
      <c r="A6190" s="1" t="s">
        <v>680</v>
      </c>
      <c r="B6190" s="1" t="s">
        <v>19473</v>
      </c>
      <c r="D6190" s="1" t="s">
        <v>19290</v>
      </c>
    </row>
    <row r="6191" spans="1:7" x14ac:dyDescent="0.25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25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25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25">
      <c r="A6194" s="1" t="s">
        <v>680</v>
      </c>
      <c r="B6194" s="1" t="s">
        <v>19478</v>
      </c>
      <c r="D6194" s="1" t="s">
        <v>19290</v>
      </c>
    </row>
    <row r="6195" spans="1:7" x14ac:dyDescent="0.25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25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25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25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25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25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25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25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25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25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25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25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25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25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25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25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25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25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25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25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25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25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25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25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25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25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25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25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25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25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25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25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25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25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25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25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25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25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25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25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25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25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25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25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25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25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25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25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25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25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25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25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25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25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25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25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25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25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25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25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25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25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25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25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25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47"/>
  <sheetViews>
    <sheetView tabSelected="1" workbookViewId="0">
      <selection activeCell="C3" sqref="C3"/>
    </sheetView>
  </sheetViews>
  <sheetFormatPr defaultColWidth="14.42578125" defaultRowHeight="15" customHeight="1" x14ac:dyDescent="0.25"/>
  <cols>
    <col min="1" max="1" width="4.140625" customWidth="1"/>
    <col min="2" max="2" width="31.28515625" customWidth="1"/>
    <col min="3" max="3" width="38.28515625" customWidth="1"/>
    <col min="4" max="4" width="9.5703125" customWidth="1"/>
    <col min="5" max="5" width="18.28515625" customWidth="1"/>
    <col min="6" max="9" width="8.7109375" customWidth="1"/>
    <col min="10" max="10" width="22.140625" customWidth="1"/>
    <col min="11" max="11" width="14.5703125" customWidth="1"/>
    <col min="12" max="12" width="19.85546875" customWidth="1"/>
    <col min="13" max="13" width="8.7109375" customWidth="1"/>
    <col min="14" max="14" width="14" customWidth="1"/>
    <col min="15" max="25" width="8.7109375" customWidth="1"/>
  </cols>
  <sheetData>
    <row r="1" spans="2:16" x14ac:dyDescent="0.25">
      <c r="B1" s="17" t="s">
        <v>19702</v>
      </c>
      <c r="C1" s="18"/>
    </row>
    <row r="2" spans="2:16" ht="15" customHeight="1" thickBot="1" x14ac:dyDescent="0.3">
      <c r="B2" s="19"/>
      <c r="C2" s="20"/>
    </row>
    <row r="3" spans="2:16" ht="19.5" thickBot="1" x14ac:dyDescent="0.35">
      <c r="B3" s="2" t="s">
        <v>19703</v>
      </c>
      <c r="C3" s="3" t="s">
        <v>8</v>
      </c>
      <c r="E3" s="12" t="s">
        <v>0</v>
      </c>
      <c r="H3" s="13" t="s">
        <v>3</v>
      </c>
      <c r="J3" s="1" t="s">
        <v>0</v>
      </c>
      <c r="K3" s="1" t="s">
        <v>1</v>
      </c>
      <c r="L3" s="1" t="s">
        <v>2</v>
      </c>
      <c r="M3" s="1" t="s">
        <v>3</v>
      </c>
      <c r="N3" s="1" t="s">
        <v>4</v>
      </c>
      <c r="O3" s="1" t="s">
        <v>5</v>
      </c>
      <c r="P3" s="1" t="s">
        <v>6</v>
      </c>
    </row>
    <row r="4" spans="2:16" x14ac:dyDescent="0.25">
      <c r="B4" s="4" t="s">
        <v>19704</v>
      </c>
      <c r="C4" s="5" t="str">
        <f>_xlfn.XLOOKUP($C$3,'Strutture ricettive'!B:B,'Strutture ricettive'!D:D,"Non trovata")</f>
        <v>URBINO</v>
      </c>
      <c r="E4" s="11" t="s">
        <v>30</v>
      </c>
      <c r="F4">
        <f>COUNTIF('Strutture ricettive'!A:A,E4)</f>
        <v>1809</v>
      </c>
      <c r="H4" t="s">
        <v>10</v>
      </c>
      <c r="J4" s="1" t="s">
        <v>7</v>
      </c>
      <c r="K4" s="1" t="s">
        <v>8</v>
      </c>
      <c r="L4" s="1" t="s">
        <v>9</v>
      </c>
      <c r="M4" s="1" t="s">
        <v>10</v>
      </c>
      <c r="O4" s="1" t="s">
        <v>11</v>
      </c>
      <c r="P4" s="1" t="s">
        <v>12</v>
      </c>
    </row>
    <row r="5" spans="2:16" ht="30" x14ac:dyDescent="0.25">
      <c r="B5" s="4" t="s">
        <v>19705</v>
      </c>
      <c r="C5" s="5" t="str">
        <f>_xlfn.XLOOKUP($C$3,'Strutture ricettive'!B:B,'Strutture ricettive'!C:C,"Non trovata")</f>
        <v>Via Girfalco, 26</v>
      </c>
      <c r="E5" s="11" t="s">
        <v>680</v>
      </c>
      <c r="F5">
        <f>COUNTIF('Strutture ricettive'!A:A,E5)</f>
        <v>850</v>
      </c>
      <c r="J5" s="1" t="s">
        <v>13</v>
      </c>
      <c r="K5" s="1" t="s">
        <v>4871</v>
      </c>
      <c r="L5" s="1" t="s">
        <v>4872</v>
      </c>
      <c r="M5" s="1" t="s">
        <v>10</v>
      </c>
      <c r="O5" s="1" t="s">
        <v>4873</v>
      </c>
      <c r="P5" s="1" t="s">
        <v>4874</v>
      </c>
    </row>
    <row r="6" spans="2:16" ht="30" x14ac:dyDescent="0.25">
      <c r="B6" s="4" t="s">
        <v>19706</v>
      </c>
      <c r="C6" s="5" t="str">
        <f>_xlfn.XLOOKUP($C$3,'Strutture ricettive'!B:B,'Strutture ricettive'!G:G,"Non trovata")</f>
        <v>info@girfalco.it</v>
      </c>
      <c r="E6" s="11" t="s">
        <v>36</v>
      </c>
      <c r="F6">
        <f>COUNTIF('Strutture ricettive'!A:A,E6)</f>
        <v>830</v>
      </c>
      <c r="J6" s="1" t="s">
        <v>30</v>
      </c>
      <c r="K6" s="1" t="s">
        <v>4875</v>
      </c>
      <c r="L6" s="1" t="s">
        <v>4876</v>
      </c>
      <c r="M6" s="1" t="s">
        <v>10</v>
      </c>
      <c r="N6" s="1" t="s">
        <v>4877</v>
      </c>
      <c r="P6" s="1" t="s">
        <v>4878</v>
      </c>
    </row>
    <row r="7" spans="2:16" ht="15.75" thickBot="1" x14ac:dyDescent="0.3">
      <c r="B7" s="6" t="s">
        <v>19707</v>
      </c>
      <c r="C7" s="5" t="str">
        <f>_xlfn.XLOOKUP($C$3,'Strutture ricettive'!B:B,'Strutture ricettive'!F:F,"Non trovata")</f>
        <v>www.girfalco.it</v>
      </c>
      <c r="E7" s="11" t="s">
        <v>21</v>
      </c>
      <c r="F7">
        <f>COUNTIF('Strutture ricettive'!A:A,E7)</f>
        <v>814</v>
      </c>
      <c r="J7" s="1" t="s">
        <v>13</v>
      </c>
      <c r="K7" s="1" t="s">
        <v>4879</v>
      </c>
      <c r="L7" s="1" t="s">
        <v>4880</v>
      </c>
      <c r="M7" s="1" t="s">
        <v>10</v>
      </c>
      <c r="O7" s="1" t="s">
        <v>4881</v>
      </c>
      <c r="P7" s="1" t="s">
        <v>4882</v>
      </c>
    </row>
    <row r="8" spans="2:16" ht="30" x14ac:dyDescent="0.25">
      <c r="B8" s="7" t="s">
        <v>19708</v>
      </c>
      <c r="C8" s="8">
        <f>COUNTA('Strutture ricettive'!B:B)-1</f>
        <v>6258</v>
      </c>
      <c r="E8" s="11" t="s">
        <v>13</v>
      </c>
      <c r="F8">
        <f>COUNTIF('Strutture ricettive'!A:A,E8)</f>
        <v>721</v>
      </c>
      <c r="J8" s="1" t="s">
        <v>30</v>
      </c>
      <c r="K8" s="1" t="s">
        <v>4883</v>
      </c>
      <c r="L8" s="1" t="s">
        <v>4884</v>
      </c>
      <c r="M8" s="1" t="s">
        <v>10</v>
      </c>
      <c r="N8" s="1" t="s">
        <v>4885</v>
      </c>
      <c r="O8" s="1" t="s">
        <v>4886</v>
      </c>
      <c r="P8" s="1" t="s">
        <v>4887</v>
      </c>
    </row>
    <row r="9" spans="2:16" ht="30.75" thickBot="1" x14ac:dyDescent="0.3">
      <c r="B9" s="6" t="s">
        <v>19709</v>
      </c>
      <c r="C9" s="9">
        <f>COUNTIF('Strutture ricettive'!D:D,C4)</f>
        <v>144</v>
      </c>
      <c r="E9" s="11" t="s">
        <v>83</v>
      </c>
      <c r="F9">
        <f>COUNTIF('Strutture ricettive'!A:A,E9)</f>
        <v>541</v>
      </c>
      <c r="J9" s="1" t="s">
        <v>30</v>
      </c>
      <c r="K9" s="1" t="s">
        <v>4888</v>
      </c>
      <c r="L9" s="1" t="s">
        <v>4889</v>
      </c>
      <c r="M9" s="1" t="s">
        <v>10</v>
      </c>
      <c r="N9" s="1" t="s">
        <v>4890</v>
      </c>
      <c r="P9" s="1" t="s">
        <v>4891</v>
      </c>
    </row>
    <row r="10" spans="2:16" x14ac:dyDescent="0.25">
      <c r="E10" s="11" t="s">
        <v>7</v>
      </c>
      <c r="F10">
        <f>COUNTIF('Strutture ricettive'!A:A,E10)</f>
        <v>304</v>
      </c>
      <c r="J10" s="1" t="s">
        <v>30</v>
      </c>
      <c r="K10" s="1" t="s">
        <v>4892</v>
      </c>
      <c r="L10" s="1" t="s">
        <v>4893</v>
      </c>
      <c r="M10" s="1" t="s">
        <v>10</v>
      </c>
      <c r="P10" s="1" t="s">
        <v>4894</v>
      </c>
    </row>
    <row r="11" spans="2:16" x14ac:dyDescent="0.25">
      <c r="B11" s="15" t="s">
        <v>19714</v>
      </c>
      <c r="E11" s="11" t="s">
        <v>572</v>
      </c>
      <c r="F11">
        <f>COUNTIF('Strutture ricettive'!A:A,E11)</f>
        <v>93</v>
      </c>
      <c r="J11" s="1" t="s">
        <v>30</v>
      </c>
      <c r="K11" s="1" t="s">
        <v>4895</v>
      </c>
      <c r="L11" s="1" t="s">
        <v>4896</v>
      </c>
      <c r="M11" s="1" t="s">
        <v>10</v>
      </c>
      <c r="N11" s="1" t="s">
        <v>4897</v>
      </c>
      <c r="P11" s="1" t="s">
        <v>4898</v>
      </c>
    </row>
    <row r="12" spans="2:16" ht="30" x14ac:dyDescent="0.25">
      <c r="B12" s="14" t="s">
        <v>19713</v>
      </c>
      <c r="E12" s="11" t="s">
        <v>89</v>
      </c>
      <c r="F12">
        <f>COUNTIF('Strutture ricettive'!A:A,E12)</f>
        <v>86</v>
      </c>
      <c r="J12" s="1" t="s">
        <v>36</v>
      </c>
      <c r="K12" s="1" t="s">
        <v>4899</v>
      </c>
      <c r="L12" s="1" t="s">
        <v>4900</v>
      </c>
      <c r="M12" s="1" t="s">
        <v>10</v>
      </c>
      <c r="O12" s="1" t="s">
        <v>4901</v>
      </c>
      <c r="P12" s="1" t="s">
        <v>4902</v>
      </c>
    </row>
    <row r="13" spans="2:16" x14ac:dyDescent="0.25">
      <c r="B13" s="14" t="s">
        <v>19710</v>
      </c>
      <c r="C13" s="16">
        <f>F7/C8</f>
        <v>0.13007350591243208</v>
      </c>
      <c r="E13" s="11" t="s">
        <v>191</v>
      </c>
      <c r="F13">
        <f>COUNTIF('Strutture ricettive'!A:A,E13)</f>
        <v>82</v>
      </c>
      <c r="J13" s="1" t="s">
        <v>30</v>
      </c>
      <c r="K13" s="1" t="s">
        <v>4903</v>
      </c>
      <c r="L13" s="1" t="s">
        <v>4904</v>
      </c>
      <c r="M13" s="1" t="s">
        <v>10</v>
      </c>
      <c r="N13" s="1" t="s">
        <v>4905</v>
      </c>
      <c r="P13" s="1" t="s">
        <v>4906</v>
      </c>
    </row>
    <row r="14" spans="2:16" ht="45" x14ac:dyDescent="0.25">
      <c r="B14" s="14" t="s">
        <v>19711</v>
      </c>
      <c r="C14" s="16">
        <f>F4/C8</f>
        <v>0.28906999041227227</v>
      </c>
      <c r="E14" s="11" t="s">
        <v>404</v>
      </c>
      <c r="F14">
        <f>COUNTIF('Strutture ricettive'!A:A,E14)</f>
        <v>52</v>
      </c>
      <c r="J14" s="1" t="s">
        <v>30</v>
      </c>
      <c r="K14" s="1" t="s">
        <v>4907</v>
      </c>
      <c r="L14" s="1" t="s">
        <v>4908</v>
      </c>
      <c r="M14" s="1" t="s">
        <v>10</v>
      </c>
      <c r="P14" s="1" t="s">
        <v>4909</v>
      </c>
    </row>
    <row r="15" spans="2:16" ht="30" x14ac:dyDescent="0.25">
      <c r="B15" s="14" t="s">
        <v>19712</v>
      </c>
      <c r="C15" s="16">
        <f>(F7/C8)^2</f>
        <v>1.6919116940351503E-2</v>
      </c>
      <c r="E15" s="11" t="s">
        <v>187</v>
      </c>
      <c r="F15">
        <f>COUNTIF('Strutture ricettive'!A:A,E15)</f>
        <v>30</v>
      </c>
      <c r="J15" s="1" t="s">
        <v>30</v>
      </c>
      <c r="K15" s="1" t="s">
        <v>4910</v>
      </c>
      <c r="L15" s="1" t="s">
        <v>4911</v>
      </c>
      <c r="M15" s="1" t="s">
        <v>10</v>
      </c>
      <c r="P15" s="1" t="s">
        <v>4912</v>
      </c>
    </row>
    <row r="16" spans="2:16" x14ac:dyDescent="0.25">
      <c r="E16" s="11" t="s">
        <v>6094</v>
      </c>
      <c r="F16">
        <f>COUNTIF('Strutture ricettive'!A:A,E16)</f>
        <v>17</v>
      </c>
      <c r="J16" s="1" t="s">
        <v>13</v>
      </c>
      <c r="K16" s="1" t="s">
        <v>4913</v>
      </c>
      <c r="L16" s="1" t="s">
        <v>4914</v>
      </c>
      <c r="M16" s="1" t="s">
        <v>10</v>
      </c>
    </row>
    <row r="17" spans="5:16" x14ac:dyDescent="0.25">
      <c r="E17" s="11" t="s">
        <v>301</v>
      </c>
      <c r="F17">
        <f>COUNTIF('Strutture ricettive'!A:A,E17)</f>
        <v>16</v>
      </c>
      <c r="J17" s="1" t="s">
        <v>21</v>
      </c>
      <c r="K17" s="1" t="s">
        <v>4915</v>
      </c>
      <c r="L17" s="1" t="s">
        <v>4916</v>
      </c>
      <c r="M17" s="1" t="s">
        <v>10</v>
      </c>
      <c r="N17" s="1" t="s">
        <v>10</v>
      </c>
      <c r="O17" s="1" t="s">
        <v>4917</v>
      </c>
      <c r="P17" s="1" t="s">
        <v>4918</v>
      </c>
    </row>
    <row r="18" spans="5:16" ht="30" x14ac:dyDescent="0.25">
      <c r="E18" s="11" t="s">
        <v>1201</v>
      </c>
      <c r="F18">
        <f>COUNTIF('Strutture ricettive'!A:A,E18)</f>
        <v>13</v>
      </c>
      <c r="J18" s="1" t="s">
        <v>30</v>
      </c>
      <c r="K18" s="1" t="s">
        <v>4919</v>
      </c>
      <c r="L18" s="1" t="s">
        <v>4920</v>
      </c>
      <c r="M18" s="1" t="s">
        <v>10</v>
      </c>
      <c r="P18" s="1" t="s">
        <v>4921</v>
      </c>
    </row>
    <row r="19" spans="5:16" x14ac:dyDescent="0.25">
      <c r="E19" s="10"/>
      <c r="J19" s="1" t="s">
        <v>30</v>
      </c>
      <c r="K19" s="1" t="s">
        <v>4922</v>
      </c>
      <c r="L19" s="1" t="s">
        <v>4923</v>
      </c>
      <c r="M19" s="1" t="s">
        <v>10</v>
      </c>
      <c r="O19" s="1" t="s">
        <v>4924</v>
      </c>
      <c r="P19" s="1" t="s">
        <v>4925</v>
      </c>
    </row>
    <row r="20" spans="5:16" x14ac:dyDescent="0.25">
      <c r="E20" s="10"/>
      <c r="J20" s="1" t="s">
        <v>13</v>
      </c>
      <c r="K20" s="1" t="s">
        <v>4926</v>
      </c>
      <c r="L20" s="1" t="s">
        <v>4927</v>
      </c>
      <c r="M20" s="1" t="s">
        <v>10</v>
      </c>
      <c r="P20" s="1" t="s">
        <v>4928</v>
      </c>
    </row>
    <row r="21" spans="5:16" ht="15" customHeight="1" x14ac:dyDescent="0.25">
      <c r="E21" s="10"/>
      <c r="J21" s="1" t="s">
        <v>13</v>
      </c>
      <c r="K21" s="1" t="s">
        <v>4929</v>
      </c>
      <c r="L21" s="1" t="s">
        <v>4930</v>
      </c>
      <c r="M21" s="1" t="s">
        <v>10</v>
      </c>
      <c r="P21" s="1" t="s">
        <v>4928</v>
      </c>
    </row>
    <row r="22" spans="5:16" ht="15" customHeight="1" x14ac:dyDescent="0.25">
      <c r="J22" s="1" t="s">
        <v>30</v>
      </c>
      <c r="K22" s="1" t="s">
        <v>4931</v>
      </c>
      <c r="L22" s="1" t="s">
        <v>4932</v>
      </c>
      <c r="M22" s="1" t="s">
        <v>10</v>
      </c>
      <c r="N22" s="1" t="s">
        <v>4933</v>
      </c>
      <c r="O22" s="1" t="s">
        <v>4934</v>
      </c>
      <c r="P22" s="1" t="s">
        <v>4935</v>
      </c>
    </row>
    <row r="23" spans="5:16" ht="15" customHeight="1" x14ac:dyDescent="0.25">
      <c r="J23" s="1" t="s">
        <v>30</v>
      </c>
      <c r="K23" s="1" t="s">
        <v>4936</v>
      </c>
      <c r="L23" s="1" t="s">
        <v>4937</v>
      </c>
      <c r="M23" s="1" t="s">
        <v>10</v>
      </c>
      <c r="N23" s="1" t="s">
        <v>4938</v>
      </c>
      <c r="P23" s="1" t="s">
        <v>4939</v>
      </c>
    </row>
    <row r="24" spans="5:16" ht="15" customHeight="1" x14ac:dyDescent="0.25">
      <c r="J24" s="1" t="s">
        <v>30</v>
      </c>
      <c r="K24" s="1" t="s">
        <v>4940</v>
      </c>
      <c r="L24" s="1" t="s">
        <v>4941</v>
      </c>
      <c r="M24" s="1" t="s">
        <v>10</v>
      </c>
      <c r="P24" s="1" t="s">
        <v>4942</v>
      </c>
    </row>
    <row r="25" spans="5:16" ht="15" customHeight="1" x14ac:dyDescent="0.25">
      <c r="J25" s="1" t="s">
        <v>30</v>
      </c>
      <c r="K25" s="1" t="s">
        <v>4943</v>
      </c>
      <c r="L25" s="1" t="s">
        <v>4944</v>
      </c>
      <c r="M25" s="1" t="s">
        <v>10</v>
      </c>
      <c r="O25" s="1" t="s">
        <v>4945</v>
      </c>
      <c r="P25" s="1" t="s">
        <v>4946</v>
      </c>
    </row>
    <row r="26" spans="5:16" ht="15" customHeight="1" x14ac:dyDescent="0.25">
      <c r="J26" s="1" t="s">
        <v>36</v>
      </c>
      <c r="K26" s="1" t="s">
        <v>4947</v>
      </c>
      <c r="L26" s="1" t="s">
        <v>4948</v>
      </c>
      <c r="M26" s="1" t="s">
        <v>10</v>
      </c>
      <c r="N26" s="1" t="s">
        <v>4949</v>
      </c>
      <c r="O26" s="1" t="s">
        <v>4950</v>
      </c>
      <c r="P26" s="1" t="s">
        <v>4951</v>
      </c>
    </row>
    <row r="27" spans="5:16" ht="15" customHeight="1" x14ac:dyDescent="0.25">
      <c r="J27" s="1" t="s">
        <v>30</v>
      </c>
      <c r="K27" s="1" t="s">
        <v>4952</v>
      </c>
      <c r="L27" s="1" t="s">
        <v>4953</v>
      </c>
      <c r="M27" s="1" t="s">
        <v>10</v>
      </c>
      <c r="O27" s="1" t="s">
        <v>4954</v>
      </c>
      <c r="P27" s="1" t="s">
        <v>4955</v>
      </c>
    </row>
    <row r="28" spans="5:16" ht="15" customHeight="1" x14ac:dyDescent="0.25">
      <c r="J28" s="1" t="s">
        <v>30</v>
      </c>
      <c r="K28" s="1" t="s">
        <v>4956</v>
      </c>
      <c r="L28" s="1" t="s">
        <v>4957</v>
      </c>
      <c r="M28" s="1" t="s">
        <v>10</v>
      </c>
      <c r="N28" s="1" t="s">
        <v>10</v>
      </c>
      <c r="O28" s="1" t="s">
        <v>4958</v>
      </c>
      <c r="P28" s="1" t="s">
        <v>4959</v>
      </c>
    </row>
    <row r="29" spans="5:16" ht="15" customHeight="1" x14ac:dyDescent="0.25">
      <c r="J29" s="1" t="s">
        <v>1201</v>
      </c>
      <c r="K29" s="1" t="s">
        <v>4960</v>
      </c>
      <c r="L29" s="1" t="s">
        <v>4961</v>
      </c>
      <c r="M29" s="1" t="s">
        <v>10</v>
      </c>
      <c r="N29" s="1" t="s">
        <v>10</v>
      </c>
    </row>
    <row r="30" spans="5:16" ht="15" customHeight="1" x14ac:dyDescent="0.25">
      <c r="J30" s="1" t="s">
        <v>1201</v>
      </c>
      <c r="K30" s="1" t="s">
        <v>4962</v>
      </c>
      <c r="L30" s="1" t="s">
        <v>4963</v>
      </c>
      <c r="M30" s="1" t="s">
        <v>10</v>
      </c>
      <c r="N30" s="1" t="s">
        <v>10</v>
      </c>
      <c r="P30" s="1" t="s">
        <v>4964</v>
      </c>
    </row>
    <row r="31" spans="5:16" ht="15" customHeight="1" x14ac:dyDescent="0.25">
      <c r="J31" s="1" t="s">
        <v>30</v>
      </c>
      <c r="K31" s="1" t="s">
        <v>4965</v>
      </c>
      <c r="L31" s="1" t="s">
        <v>4966</v>
      </c>
      <c r="M31" s="1" t="s">
        <v>10</v>
      </c>
      <c r="N31" s="1" t="s">
        <v>10</v>
      </c>
      <c r="O31" s="1" t="s">
        <v>4967</v>
      </c>
      <c r="P31" s="1" t="s">
        <v>4968</v>
      </c>
    </row>
    <row r="32" spans="5:16" ht="15" customHeight="1" x14ac:dyDescent="0.25">
      <c r="J32" s="1" t="s">
        <v>30</v>
      </c>
      <c r="K32" s="1" t="s">
        <v>4969</v>
      </c>
      <c r="L32" s="1" t="s">
        <v>4970</v>
      </c>
      <c r="M32" s="1" t="s">
        <v>10</v>
      </c>
      <c r="N32" s="1" t="s">
        <v>10</v>
      </c>
    </row>
    <row r="33" spans="10:16" ht="15" customHeight="1" x14ac:dyDescent="0.25">
      <c r="J33" s="1" t="s">
        <v>7</v>
      </c>
      <c r="K33" s="1" t="s">
        <v>4971</v>
      </c>
      <c r="L33" s="1" t="s">
        <v>4972</v>
      </c>
      <c r="M33" s="1" t="s">
        <v>10</v>
      </c>
      <c r="N33" s="1" t="s">
        <v>10</v>
      </c>
      <c r="O33" s="1" t="s">
        <v>4973</v>
      </c>
      <c r="P33" s="1" t="s">
        <v>4974</v>
      </c>
    </row>
    <row r="34" spans="10:16" ht="15" customHeight="1" x14ac:dyDescent="0.25">
      <c r="J34" s="1" t="s">
        <v>30</v>
      </c>
      <c r="K34" s="1" t="s">
        <v>4975</v>
      </c>
      <c r="L34" s="1" t="s">
        <v>4976</v>
      </c>
      <c r="M34" s="1" t="s">
        <v>10</v>
      </c>
      <c r="N34" s="1" t="s">
        <v>10</v>
      </c>
      <c r="O34" s="1" t="s">
        <v>4977</v>
      </c>
      <c r="P34" s="1" t="s">
        <v>4978</v>
      </c>
    </row>
    <row r="35" spans="10:16" ht="15" customHeight="1" x14ac:dyDescent="0.25">
      <c r="J35" s="1" t="s">
        <v>30</v>
      </c>
      <c r="K35" s="1" t="s">
        <v>4979</v>
      </c>
      <c r="L35" s="1" t="s">
        <v>4980</v>
      </c>
      <c r="M35" s="1" t="s">
        <v>10</v>
      </c>
      <c r="N35" s="1" t="s">
        <v>10</v>
      </c>
      <c r="O35" s="1" t="s">
        <v>4981</v>
      </c>
      <c r="P35" s="1" t="s">
        <v>4982</v>
      </c>
    </row>
    <row r="36" spans="10:16" ht="15" customHeight="1" x14ac:dyDescent="0.25">
      <c r="J36" s="1" t="s">
        <v>30</v>
      </c>
      <c r="K36" s="1" t="s">
        <v>4983</v>
      </c>
      <c r="L36" s="1" t="s">
        <v>4984</v>
      </c>
      <c r="M36" s="1" t="s">
        <v>10</v>
      </c>
      <c r="N36" s="1" t="s">
        <v>10</v>
      </c>
      <c r="O36" s="1" t="s">
        <v>4985</v>
      </c>
      <c r="P36" s="1" t="s">
        <v>4986</v>
      </c>
    </row>
    <row r="37" spans="10:16" ht="15" customHeight="1" x14ac:dyDescent="0.25">
      <c r="J37" s="1" t="s">
        <v>30</v>
      </c>
      <c r="K37" s="1" t="s">
        <v>4987</v>
      </c>
      <c r="L37" s="1" t="s">
        <v>4988</v>
      </c>
      <c r="M37" s="1" t="s">
        <v>10</v>
      </c>
      <c r="N37" s="1" t="s">
        <v>10</v>
      </c>
      <c r="O37" s="1" t="s">
        <v>4989</v>
      </c>
      <c r="P37" s="1" t="s">
        <v>4990</v>
      </c>
    </row>
    <row r="38" spans="10:16" ht="15" customHeight="1" x14ac:dyDescent="0.25">
      <c r="J38" s="1" t="s">
        <v>36</v>
      </c>
      <c r="K38" s="1" t="s">
        <v>4991</v>
      </c>
      <c r="L38" s="1" t="s">
        <v>4992</v>
      </c>
      <c r="M38" s="1" t="s">
        <v>10</v>
      </c>
      <c r="N38" s="1" t="s">
        <v>10</v>
      </c>
      <c r="P38" s="1" t="s">
        <v>4993</v>
      </c>
    </row>
    <row r="39" spans="10:16" ht="15" customHeight="1" x14ac:dyDescent="0.25">
      <c r="J39" s="1" t="s">
        <v>36</v>
      </c>
      <c r="K39" s="1" t="s">
        <v>4994</v>
      </c>
      <c r="L39" s="1" t="s">
        <v>4995</v>
      </c>
      <c r="M39" s="1" t="s">
        <v>10</v>
      </c>
      <c r="N39" s="1" t="s">
        <v>4996</v>
      </c>
      <c r="P39" s="1" t="s">
        <v>4997</v>
      </c>
    </row>
    <row r="40" spans="10:16" ht="15" customHeight="1" x14ac:dyDescent="0.25">
      <c r="J40" s="1" t="s">
        <v>30</v>
      </c>
      <c r="K40" s="1" t="s">
        <v>4998</v>
      </c>
      <c r="L40" s="1" t="s">
        <v>4999</v>
      </c>
      <c r="M40" s="1" t="s">
        <v>10</v>
      </c>
      <c r="N40" s="1" t="s">
        <v>10</v>
      </c>
      <c r="P40" s="1" t="s">
        <v>5000</v>
      </c>
    </row>
    <row r="41" spans="10:16" ht="15" customHeight="1" x14ac:dyDescent="0.25">
      <c r="J41" s="1" t="s">
        <v>30</v>
      </c>
      <c r="K41" s="1" t="s">
        <v>5001</v>
      </c>
      <c r="L41" s="1" t="s">
        <v>5002</v>
      </c>
      <c r="M41" s="1" t="s">
        <v>10</v>
      </c>
      <c r="N41" s="1" t="s">
        <v>10</v>
      </c>
      <c r="O41" s="1" t="s">
        <v>5003</v>
      </c>
      <c r="P41" s="1" t="s">
        <v>5004</v>
      </c>
    </row>
    <row r="42" spans="10:16" ht="15" customHeight="1" x14ac:dyDescent="0.25">
      <c r="J42" s="1" t="s">
        <v>30</v>
      </c>
      <c r="K42" s="1" t="s">
        <v>1570</v>
      </c>
      <c r="L42" s="1" t="s">
        <v>5005</v>
      </c>
      <c r="M42" s="1" t="s">
        <v>10</v>
      </c>
      <c r="N42" s="1" t="s">
        <v>10</v>
      </c>
      <c r="P42" s="1" t="s">
        <v>5006</v>
      </c>
    </row>
    <row r="43" spans="10:16" ht="15" customHeight="1" x14ac:dyDescent="0.25">
      <c r="J43" s="1" t="s">
        <v>30</v>
      </c>
      <c r="K43" s="1" t="s">
        <v>5007</v>
      </c>
      <c r="L43" s="1" t="s">
        <v>5008</v>
      </c>
      <c r="M43" s="1" t="s">
        <v>10</v>
      </c>
      <c r="N43" s="1" t="s">
        <v>10</v>
      </c>
      <c r="O43" s="1" t="s">
        <v>5009</v>
      </c>
      <c r="P43" s="1" t="s">
        <v>5010</v>
      </c>
    </row>
    <row r="44" spans="10:16" ht="15" customHeight="1" x14ac:dyDescent="0.25">
      <c r="J44" s="1" t="s">
        <v>30</v>
      </c>
      <c r="K44" s="1" t="s">
        <v>5011</v>
      </c>
      <c r="L44" s="1" t="s">
        <v>5012</v>
      </c>
      <c r="M44" s="1" t="s">
        <v>10</v>
      </c>
      <c r="N44" s="1" t="s">
        <v>10</v>
      </c>
      <c r="P44" s="1" t="s">
        <v>5013</v>
      </c>
    </row>
    <row r="45" spans="10:16" ht="15" customHeight="1" x14ac:dyDescent="0.25">
      <c r="J45" s="1" t="s">
        <v>30</v>
      </c>
      <c r="K45" s="1" t="s">
        <v>5014</v>
      </c>
      <c r="L45" s="1" t="s">
        <v>5015</v>
      </c>
      <c r="M45" s="1" t="s">
        <v>10</v>
      </c>
      <c r="N45" s="1" t="s">
        <v>5016</v>
      </c>
      <c r="O45" s="1" t="s">
        <v>5017</v>
      </c>
      <c r="P45" s="1" t="s">
        <v>5018</v>
      </c>
    </row>
    <row r="46" spans="10:16" ht="15" customHeight="1" x14ac:dyDescent="0.25">
      <c r="J46" s="1" t="s">
        <v>30</v>
      </c>
      <c r="K46" s="1" t="s">
        <v>5019</v>
      </c>
      <c r="L46" s="1" t="s">
        <v>5020</v>
      </c>
      <c r="M46" s="1" t="s">
        <v>10</v>
      </c>
      <c r="N46" s="1" t="s">
        <v>10</v>
      </c>
      <c r="O46" s="1" t="s">
        <v>5021</v>
      </c>
      <c r="P46" s="1" t="s">
        <v>4974</v>
      </c>
    </row>
    <row r="47" spans="10:16" ht="15" customHeight="1" x14ac:dyDescent="0.25">
      <c r="J47" s="1" t="s">
        <v>30</v>
      </c>
      <c r="K47" s="1" t="s">
        <v>5022</v>
      </c>
      <c r="L47" s="1" t="s">
        <v>5023</v>
      </c>
      <c r="M47" s="1" t="s">
        <v>10</v>
      </c>
      <c r="N47" s="1" t="s">
        <v>10</v>
      </c>
    </row>
    <row r="48" spans="10:16" ht="15" customHeight="1" x14ac:dyDescent="0.25">
      <c r="J48" s="1" t="s">
        <v>30</v>
      </c>
      <c r="K48" s="1" t="s">
        <v>5024</v>
      </c>
      <c r="L48" s="1" t="s">
        <v>5025</v>
      </c>
      <c r="M48" s="1" t="s">
        <v>10</v>
      </c>
      <c r="N48" s="1" t="s">
        <v>10</v>
      </c>
      <c r="O48" s="1" t="s">
        <v>5026</v>
      </c>
      <c r="P48" s="1" t="s">
        <v>1483</v>
      </c>
    </row>
    <row r="49" spans="10:16" ht="15" customHeight="1" x14ac:dyDescent="0.25">
      <c r="J49" s="1" t="s">
        <v>36</v>
      </c>
      <c r="K49" s="1" t="s">
        <v>5027</v>
      </c>
      <c r="L49" s="1" t="s">
        <v>5028</v>
      </c>
      <c r="M49" s="1" t="s">
        <v>10</v>
      </c>
      <c r="N49" s="1" t="s">
        <v>10</v>
      </c>
      <c r="P49" s="1" t="s">
        <v>5029</v>
      </c>
    </row>
    <row r="50" spans="10:16" ht="15" customHeight="1" x14ac:dyDescent="0.25">
      <c r="J50" s="1" t="s">
        <v>30</v>
      </c>
      <c r="K50" s="1" t="s">
        <v>5030</v>
      </c>
      <c r="L50" s="1" t="s">
        <v>5031</v>
      </c>
      <c r="M50" s="1" t="s">
        <v>10</v>
      </c>
      <c r="O50" s="1" t="s">
        <v>5032</v>
      </c>
      <c r="P50" s="1" t="s">
        <v>5033</v>
      </c>
    </row>
    <row r="51" spans="10:16" ht="15" customHeight="1" x14ac:dyDescent="0.25">
      <c r="J51" s="1" t="s">
        <v>30</v>
      </c>
      <c r="K51" s="1" t="s">
        <v>5034</v>
      </c>
      <c r="L51" s="1" t="s">
        <v>5035</v>
      </c>
      <c r="M51" s="1" t="s">
        <v>10</v>
      </c>
      <c r="N51" s="1" t="s">
        <v>5036</v>
      </c>
      <c r="O51" s="1" t="s">
        <v>5037</v>
      </c>
      <c r="P51" s="1" t="s">
        <v>5038</v>
      </c>
    </row>
    <row r="52" spans="10:16" ht="15" customHeight="1" x14ac:dyDescent="0.25">
      <c r="J52" s="1" t="s">
        <v>30</v>
      </c>
      <c r="K52" s="1" t="s">
        <v>5039</v>
      </c>
      <c r="L52" s="1" t="s">
        <v>5040</v>
      </c>
      <c r="M52" s="1" t="s">
        <v>10</v>
      </c>
      <c r="N52" s="1" t="s">
        <v>5041</v>
      </c>
      <c r="O52" s="1" t="s">
        <v>5042</v>
      </c>
      <c r="P52" s="1" t="s">
        <v>5043</v>
      </c>
    </row>
    <row r="53" spans="10:16" ht="15" customHeight="1" x14ac:dyDescent="0.25">
      <c r="J53" s="1" t="s">
        <v>30</v>
      </c>
      <c r="K53" s="1" t="s">
        <v>5044</v>
      </c>
      <c r="L53" s="1" t="s">
        <v>5045</v>
      </c>
      <c r="M53" s="1" t="s">
        <v>10</v>
      </c>
      <c r="P53" s="1" t="s">
        <v>5046</v>
      </c>
    </row>
    <row r="54" spans="10:16" ht="15" customHeight="1" x14ac:dyDescent="0.25">
      <c r="J54" s="1" t="s">
        <v>191</v>
      </c>
      <c r="K54" s="1" t="s">
        <v>5047</v>
      </c>
      <c r="M54" s="1" t="s">
        <v>10</v>
      </c>
    </row>
    <row r="55" spans="10:16" ht="15" customHeight="1" x14ac:dyDescent="0.25">
      <c r="J55" s="1" t="s">
        <v>191</v>
      </c>
      <c r="K55" s="1" t="s">
        <v>5048</v>
      </c>
      <c r="M55" s="1" t="s">
        <v>10</v>
      </c>
      <c r="P55" s="1" t="s">
        <v>5049</v>
      </c>
    </row>
    <row r="56" spans="10:16" ht="15" customHeight="1" x14ac:dyDescent="0.25">
      <c r="J56" s="1" t="s">
        <v>30</v>
      </c>
      <c r="K56" s="1" t="s">
        <v>5050</v>
      </c>
      <c r="L56" s="1" t="s">
        <v>5051</v>
      </c>
      <c r="M56" s="1" t="s">
        <v>10</v>
      </c>
      <c r="P56" s="1" t="s">
        <v>5052</v>
      </c>
    </row>
    <row r="57" spans="10:16" ht="15" customHeight="1" x14ac:dyDescent="0.25">
      <c r="J57" s="1" t="s">
        <v>36</v>
      </c>
      <c r="K57" s="1" t="s">
        <v>5053</v>
      </c>
      <c r="L57" s="1" t="s">
        <v>5054</v>
      </c>
      <c r="M57" s="1" t="s">
        <v>10</v>
      </c>
      <c r="P57" s="1" t="s">
        <v>5055</v>
      </c>
    </row>
    <row r="58" spans="10:16" ht="15" customHeight="1" x14ac:dyDescent="0.25">
      <c r="J58" s="1" t="s">
        <v>30</v>
      </c>
      <c r="K58" s="1" t="s">
        <v>5056</v>
      </c>
      <c r="L58" s="1" t="s">
        <v>5057</v>
      </c>
      <c r="M58" s="1" t="s">
        <v>10</v>
      </c>
      <c r="N58" s="1" t="s">
        <v>10</v>
      </c>
      <c r="P58" s="1" t="s">
        <v>5058</v>
      </c>
    </row>
    <row r="59" spans="10:16" ht="15" customHeight="1" x14ac:dyDescent="0.25">
      <c r="J59" s="1" t="s">
        <v>30</v>
      </c>
      <c r="K59" s="1" t="s">
        <v>5059</v>
      </c>
      <c r="L59" s="1" t="s">
        <v>5060</v>
      </c>
      <c r="M59" s="1" t="s">
        <v>10</v>
      </c>
      <c r="N59" s="1" t="s">
        <v>10</v>
      </c>
      <c r="P59" s="1" t="s">
        <v>5061</v>
      </c>
    </row>
    <row r="60" spans="10:16" ht="15" customHeight="1" x14ac:dyDescent="0.25">
      <c r="J60" s="1" t="s">
        <v>83</v>
      </c>
      <c r="K60" s="1" t="s">
        <v>5062</v>
      </c>
      <c r="L60" s="1" t="s">
        <v>5063</v>
      </c>
      <c r="M60" s="1" t="s">
        <v>10</v>
      </c>
      <c r="N60" s="1" t="s">
        <v>10</v>
      </c>
      <c r="P60" s="1" t="s">
        <v>5064</v>
      </c>
    </row>
    <row r="61" spans="10:16" ht="15" customHeight="1" x14ac:dyDescent="0.25">
      <c r="J61" s="1" t="s">
        <v>36</v>
      </c>
      <c r="K61" s="1" t="s">
        <v>5065</v>
      </c>
      <c r="L61" s="1" t="s">
        <v>5066</v>
      </c>
      <c r="M61" s="1" t="s">
        <v>10</v>
      </c>
      <c r="N61" s="1" t="s">
        <v>10</v>
      </c>
      <c r="P61" s="1" t="s">
        <v>5067</v>
      </c>
    </row>
    <row r="62" spans="10:16" ht="15" customHeight="1" x14ac:dyDescent="0.25">
      <c r="J62" s="1" t="s">
        <v>30</v>
      </c>
      <c r="K62" s="1" t="s">
        <v>5068</v>
      </c>
      <c r="L62" s="1" t="s">
        <v>5069</v>
      </c>
      <c r="M62" s="1" t="s">
        <v>10</v>
      </c>
      <c r="N62" s="1" t="s">
        <v>5070</v>
      </c>
      <c r="O62" s="1" t="s">
        <v>5071</v>
      </c>
      <c r="P62" s="1" t="s">
        <v>5072</v>
      </c>
    </row>
    <row r="63" spans="10:16" ht="15" customHeight="1" x14ac:dyDescent="0.25">
      <c r="J63" s="1" t="s">
        <v>30</v>
      </c>
      <c r="K63" s="1" t="s">
        <v>5073</v>
      </c>
      <c r="L63" s="1" t="s">
        <v>5074</v>
      </c>
      <c r="M63" s="1" t="s">
        <v>10</v>
      </c>
      <c r="N63" s="1" t="s">
        <v>5075</v>
      </c>
      <c r="P63" s="1" t="s">
        <v>5076</v>
      </c>
    </row>
    <row r="64" spans="10:16" ht="15" customHeight="1" x14ac:dyDescent="0.25">
      <c r="J64" s="1" t="s">
        <v>30</v>
      </c>
      <c r="K64" s="1" t="s">
        <v>5077</v>
      </c>
      <c r="L64" s="1" t="s">
        <v>5078</v>
      </c>
      <c r="M64" s="1" t="s">
        <v>10</v>
      </c>
      <c r="N64" s="1" t="s">
        <v>5079</v>
      </c>
      <c r="O64" s="1" t="s">
        <v>5080</v>
      </c>
      <c r="P64" s="1" t="s">
        <v>5081</v>
      </c>
    </row>
    <row r="65" spans="10:16" ht="15" customHeight="1" x14ac:dyDescent="0.25">
      <c r="J65" s="1" t="s">
        <v>83</v>
      </c>
      <c r="K65" s="1" t="s">
        <v>5082</v>
      </c>
      <c r="L65" s="1" t="s">
        <v>5083</v>
      </c>
      <c r="M65" s="1" t="s">
        <v>10</v>
      </c>
      <c r="N65" s="1" t="s">
        <v>10</v>
      </c>
      <c r="O65" s="1" t="s">
        <v>5084</v>
      </c>
      <c r="P65" s="1" t="s">
        <v>5085</v>
      </c>
    </row>
    <row r="66" spans="10:16" ht="15" customHeight="1" x14ac:dyDescent="0.25">
      <c r="J66" s="1" t="s">
        <v>21</v>
      </c>
      <c r="K66" s="1" t="s">
        <v>5086</v>
      </c>
      <c r="L66" s="1" t="s">
        <v>5087</v>
      </c>
      <c r="M66" s="1" t="s">
        <v>10</v>
      </c>
      <c r="N66" s="1" t="s">
        <v>10</v>
      </c>
      <c r="O66" s="1" t="s">
        <v>5088</v>
      </c>
      <c r="P66" s="1" t="s">
        <v>5089</v>
      </c>
    </row>
    <row r="67" spans="10:16" ht="15" customHeight="1" x14ac:dyDescent="0.25">
      <c r="J67" s="1" t="s">
        <v>21</v>
      </c>
      <c r="K67" s="1" t="s">
        <v>5090</v>
      </c>
      <c r="L67" s="1" t="s">
        <v>5091</v>
      </c>
      <c r="M67" s="1" t="s">
        <v>10</v>
      </c>
      <c r="N67" s="1" t="s">
        <v>10</v>
      </c>
      <c r="O67" s="1" t="s">
        <v>5088</v>
      </c>
      <c r="P67" s="1" t="s">
        <v>5092</v>
      </c>
    </row>
    <row r="68" spans="10:16" ht="15" customHeight="1" x14ac:dyDescent="0.25">
      <c r="J68" s="1" t="s">
        <v>21</v>
      </c>
      <c r="K68" s="1" t="s">
        <v>5093</v>
      </c>
      <c r="L68" s="1" t="s">
        <v>5094</v>
      </c>
      <c r="M68" s="1" t="s">
        <v>10</v>
      </c>
      <c r="N68" s="1" t="s">
        <v>10</v>
      </c>
      <c r="O68" s="1" t="s">
        <v>5095</v>
      </c>
      <c r="P68" s="1" t="s">
        <v>5096</v>
      </c>
    </row>
    <row r="69" spans="10:16" ht="15" customHeight="1" x14ac:dyDescent="0.25">
      <c r="J69" s="1" t="s">
        <v>21</v>
      </c>
      <c r="K69" s="1" t="s">
        <v>2824</v>
      </c>
      <c r="L69" s="1" t="s">
        <v>5097</v>
      </c>
      <c r="M69" s="1" t="s">
        <v>10</v>
      </c>
      <c r="N69" s="1" t="s">
        <v>10</v>
      </c>
      <c r="O69" s="1" t="s">
        <v>5098</v>
      </c>
      <c r="P69" s="1" t="s">
        <v>5099</v>
      </c>
    </row>
    <row r="70" spans="10:16" ht="15" customHeight="1" x14ac:dyDescent="0.25">
      <c r="J70" s="1" t="s">
        <v>21</v>
      </c>
      <c r="K70" s="1" t="s">
        <v>5100</v>
      </c>
      <c r="L70" s="1" t="s">
        <v>5101</v>
      </c>
      <c r="M70" s="1" t="s">
        <v>10</v>
      </c>
      <c r="N70" s="1" t="s">
        <v>10</v>
      </c>
      <c r="O70" s="1" t="s">
        <v>5102</v>
      </c>
      <c r="P70" s="1" t="s">
        <v>5103</v>
      </c>
    </row>
    <row r="71" spans="10:16" ht="15" customHeight="1" x14ac:dyDescent="0.25">
      <c r="J71" s="1" t="s">
        <v>21</v>
      </c>
      <c r="K71" s="1" t="s">
        <v>5104</v>
      </c>
      <c r="L71" s="1" t="s">
        <v>5105</v>
      </c>
      <c r="M71" s="1" t="s">
        <v>10</v>
      </c>
      <c r="N71" s="1" t="s">
        <v>10</v>
      </c>
      <c r="O71" s="1" t="s">
        <v>5106</v>
      </c>
      <c r="P71" s="1" t="s">
        <v>5107</v>
      </c>
    </row>
    <row r="72" spans="10:16" ht="15" customHeight="1" x14ac:dyDescent="0.25">
      <c r="J72" s="1" t="s">
        <v>21</v>
      </c>
      <c r="K72" s="1" t="s">
        <v>5108</v>
      </c>
      <c r="L72" s="1" t="s">
        <v>5109</v>
      </c>
      <c r="M72" s="1" t="s">
        <v>10</v>
      </c>
      <c r="N72" s="1" t="s">
        <v>10</v>
      </c>
      <c r="O72" s="1" t="s">
        <v>4977</v>
      </c>
      <c r="P72" s="1" t="s">
        <v>4978</v>
      </c>
    </row>
    <row r="73" spans="10:16" ht="15" customHeight="1" x14ac:dyDescent="0.25">
      <c r="J73" s="1" t="s">
        <v>21</v>
      </c>
      <c r="K73" s="1" t="s">
        <v>5110</v>
      </c>
      <c r="L73" s="1" t="s">
        <v>5111</v>
      </c>
      <c r="M73" s="1" t="s">
        <v>10</v>
      </c>
      <c r="N73" s="1" t="s">
        <v>10</v>
      </c>
      <c r="O73" s="1" t="s">
        <v>5088</v>
      </c>
      <c r="P73" s="1" t="s">
        <v>5112</v>
      </c>
    </row>
    <row r="74" spans="10:16" ht="15" customHeight="1" x14ac:dyDescent="0.25">
      <c r="J74" s="1" t="s">
        <v>21</v>
      </c>
      <c r="K74" s="1" t="s">
        <v>5113</v>
      </c>
      <c r="L74" s="1" t="s">
        <v>5114</v>
      </c>
      <c r="M74" s="1" t="s">
        <v>10</v>
      </c>
      <c r="N74" s="1" t="s">
        <v>10</v>
      </c>
      <c r="O74" s="1" t="s">
        <v>5115</v>
      </c>
      <c r="P74" s="1" t="s">
        <v>5116</v>
      </c>
    </row>
    <row r="75" spans="10:16" ht="15" customHeight="1" x14ac:dyDescent="0.25">
      <c r="J75" s="1" t="s">
        <v>21</v>
      </c>
      <c r="K75" s="1" t="s">
        <v>5117</v>
      </c>
      <c r="L75" s="1" t="s">
        <v>5118</v>
      </c>
      <c r="M75" s="1" t="s">
        <v>10</v>
      </c>
      <c r="N75" s="1" t="s">
        <v>10</v>
      </c>
      <c r="O75" s="1" t="s">
        <v>5119</v>
      </c>
      <c r="P75" s="1" t="s">
        <v>5120</v>
      </c>
    </row>
    <row r="76" spans="10:16" ht="15" customHeight="1" x14ac:dyDescent="0.25">
      <c r="J76" s="1" t="s">
        <v>7</v>
      </c>
      <c r="K76" s="1" t="s">
        <v>5121</v>
      </c>
      <c r="L76" s="1" t="s">
        <v>5122</v>
      </c>
      <c r="M76" s="1" t="s">
        <v>10</v>
      </c>
      <c r="N76" s="1" t="s">
        <v>10</v>
      </c>
      <c r="O76" s="1" t="s">
        <v>5123</v>
      </c>
      <c r="P76" s="1" t="s">
        <v>5124</v>
      </c>
    </row>
    <row r="77" spans="10:16" ht="15" customHeight="1" x14ac:dyDescent="0.25">
      <c r="J77" s="1" t="s">
        <v>36</v>
      </c>
      <c r="K77" s="1" t="s">
        <v>5125</v>
      </c>
      <c r="L77" s="1" t="s">
        <v>5126</v>
      </c>
      <c r="M77" s="1" t="s">
        <v>10</v>
      </c>
      <c r="N77" s="1" t="s">
        <v>10</v>
      </c>
      <c r="O77" s="1" t="s">
        <v>5127</v>
      </c>
      <c r="P77" s="1" t="s">
        <v>5128</v>
      </c>
    </row>
    <row r="78" spans="10:16" ht="15" customHeight="1" x14ac:dyDescent="0.25">
      <c r="J78" s="1" t="s">
        <v>36</v>
      </c>
      <c r="K78" s="1" t="s">
        <v>5129</v>
      </c>
      <c r="L78" s="1" t="s">
        <v>5130</v>
      </c>
      <c r="M78" s="1" t="s">
        <v>10</v>
      </c>
      <c r="N78" s="1" t="s">
        <v>5131</v>
      </c>
      <c r="O78" s="1" t="s">
        <v>5132</v>
      </c>
      <c r="P78" s="1" t="s">
        <v>5133</v>
      </c>
    </row>
    <row r="79" spans="10:16" ht="15" customHeight="1" x14ac:dyDescent="0.25">
      <c r="J79" s="1" t="s">
        <v>36</v>
      </c>
      <c r="K79" s="1" t="s">
        <v>5134</v>
      </c>
      <c r="L79" s="1" t="s">
        <v>5135</v>
      </c>
      <c r="M79" s="1" t="s">
        <v>10</v>
      </c>
      <c r="N79" s="1" t="s">
        <v>10</v>
      </c>
      <c r="P79" s="1" t="s">
        <v>5136</v>
      </c>
    </row>
    <row r="80" spans="10:16" ht="15" customHeight="1" x14ac:dyDescent="0.25">
      <c r="J80" s="1" t="s">
        <v>36</v>
      </c>
      <c r="K80" s="1" t="s">
        <v>5137</v>
      </c>
      <c r="L80" s="1" t="s">
        <v>5138</v>
      </c>
      <c r="M80" s="1" t="s">
        <v>10</v>
      </c>
      <c r="N80" s="1" t="s">
        <v>10</v>
      </c>
      <c r="P80" s="1" t="s">
        <v>5139</v>
      </c>
    </row>
    <row r="81" spans="10:16" ht="15" customHeight="1" x14ac:dyDescent="0.25">
      <c r="J81" s="1" t="s">
        <v>36</v>
      </c>
      <c r="K81" s="1" t="s">
        <v>5090</v>
      </c>
      <c r="L81" s="1" t="s">
        <v>5140</v>
      </c>
      <c r="M81" s="1" t="s">
        <v>10</v>
      </c>
      <c r="N81" s="1" t="s">
        <v>10</v>
      </c>
      <c r="O81" s="1" t="s">
        <v>5141</v>
      </c>
      <c r="P81" s="1" t="s">
        <v>5142</v>
      </c>
    </row>
    <row r="82" spans="10:16" ht="15" customHeight="1" x14ac:dyDescent="0.25">
      <c r="J82" s="1" t="s">
        <v>36</v>
      </c>
      <c r="K82" s="1" t="s">
        <v>5143</v>
      </c>
      <c r="L82" s="1" t="s">
        <v>5144</v>
      </c>
      <c r="M82" s="1" t="s">
        <v>10</v>
      </c>
      <c r="N82" s="1" t="s">
        <v>10</v>
      </c>
      <c r="P82" s="1" t="s">
        <v>5145</v>
      </c>
    </row>
    <row r="83" spans="10:16" ht="15" customHeight="1" x14ac:dyDescent="0.25">
      <c r="J83" s="1" t="s">
        <v>30</v>
      </c>
      <c r="K83" s="1" t="s">
        <v>5146</v>
      </c>
      <c r="L83" s="1" t="s">
        <v>5147</v>
      </c>
      <c r="M83" s="1" t="s">
        <v>10</v>
      </c>
      <c r="N83" s="1" t="s">
        <v>10</v>
      </c>
      <c r="P83" s="1" t="s">
        <v>5148</v>
      </c>
    </row>
    <row r="84" spans="10:16" ht="15" customHeight="1" x14ac:dyDescent="0.25">
      <c r="J84" s="1" t="s">
        <v>36</v>
      </c>
      <c r="K84" s="1" t="s">
        <v>5149</v>
      </c>
      <c r="L84" s="1" t="s">
        <v>5150</v>
      </c>
      <c r="M84" s="1" t="s">
        <v>10</v>
      </c>
      <c r="N84" s="1" t="s">
        <v>10</v>
      </c>
      <c r="O84" s="1" t="s">
        <v>5151</v>
      </c>
      <c r="P84" s="1" t="s">
        <v>5152</v>
      </c>
    </row>
    <row r="85" spans="10:16" ht="15" customHeight="1" x14ac:dyDescent="0.25">
      <c r="J85" s="1" t="s">
        <v>36</v>
      </c>
      <c r="K85" s="1" t="s">
        <v>5153</v>
      </c>
      <c r="L85" s="1" t="s">
        <v>5154</v>
      </c>
      <c r="M85" s="1" t="s">
        <v>10</v>
      </c>
      <c r="N85" s="1" t="s">
        <v>10</v>
      </c>
      <c r="O85" s="1" t="s">
        <v>5155</v>
      </c>
      <c r="P85" s="1" t="s">
        <v>5156</v>
      </c>
    </row>
    <row r="86" spans="10:16" ht="15" customHeight="1" x14ac:dyDescent="0.25">
      <c r="J86" s="1" t="s">
        <v>36</v>
      </c>
      <c r="K86" s="1" t="s">
        <v>5157</v>
      </c>
      <c r="L86" s="1" t="s">
        <v>5158</v>
      </c>
      <c r="M86" s="1" t="s">
        <v>10</v>
      </c>
      <c r="N86" s="1" t="s">
        <v>10</v>
      </c>
    </row>
    <row r="87" spans="10:16" ht="15" customHeight="1" x14ac:dyDescent="0.25">
      <c r="J87" s="1" t="s">
        <v>36</v>
      </c>
      <c r="K87" s="1" t="s">
        <v>5159</v>
      </c>
      <c r="L87" s="1" t="s">
        <v>5160</v>
      </c>
      <c r="M87" s="1" t="s">
        <v>10</v>
      </c>
      <c r="N87" s="1" t="s">
        <v>10</v>
      </c>
      <c r="O87" s="1" t="s">
        <v>5161</v>
      </c>
      <c r="P87" s="1" t="s">
        <v>5162</v>
      </c>
    </row>
    <row r="88" spans="10:16" ht="15" customHeight="1" x14ac:dyDescent="0.25">
      <c r="J88" s="1" t="s">
        <v>36</v>
      </c>
      <c r="K88" s="1" t="s">
        <v>5163</v>
      </c>
      <c r="L88" s="1" t="s">
        <v>5164</v>
      </c>
      <c r="M88" s="1" t="s">
        <v>10</v>
      </c>
      <c r="N88" s="1" t="s">
        <v>10</v>
      </c>
      <c r="O88" s="1" t="s">
        <v>5165</v>
      </c>
      <c r="P88" s="1" t="s">
        <v>5166</v>
      </c>
    </row>
    <row r="89" spans="10:16" ht="15" customHeight="1" x14ac:dyDescent="0.25">
      <c r="J89" s="1" t="s">
        <v>36</v>
      </c>
      <c r="K89" s="1" t="s">
        <v>5167</v>
      </c>
      <c r="L89" s="1" t="s">
        <v>5168</v>
      </c>
      <c r="M89" s="1" t="s">
        <v>10</v>
      </c>
      <c r="N89" s="1" t="s">
        <v>10</v>
      </c>
      <c r="P89" s="1" t="s">
        <v>5169</v>
      </c>
    </row>
    <row r="90" spans="10:16" ht="15" customHeight="1" x14ac:dyDescent="0.25">
      <c r="J90" s="1" t="s">
        <v>30</v>
      </c>
      <c r="K90" s="1" t="s">
        <v>5170</v>
      </c>
      <c r="L90" s="1" t="s">
        <v>5171</v>
      </c>
      <c r="M90" s="1" t="s">
        <v>10</v>
      </c>
      <c r="N90" s="1" t="s">
        <v>10</v>
      </c>
      <c r="O90" s="1" t="s">
        <v>5172</v>
      </c>
      <c r="P90" s="1" t="s">
        <v>5173</v>
      </c>
    </row>
    <row r="91" spans="10:16" ht="15" customHeight="1" x14ac:dyDescent="0.25">
      <c r="J91" s="1" t="s">
        <v>30</v>
      </c>
      <c r="K91" s="1" t="s">
        <v>5174</v>
      </c>
      <c r="L91" s="1" t="s">
        <v>5175</v>
      </c>
      <c r="M91" s="1" t="s">
        <v>10</v>
      </c>
      <c r="N91" s="1" t="s">
        <v>10</v>
      </c>
      <c r="O91" s="1" t="s">
        <v>5176</v>
      </c>
      <c r="P91" s="1" t="s">
        <v>5177</v>
      </c>
    </row>
    <row r="92" spans="10:16" ht="15" customHeight="1" x14ac:dyDescent="0.25">
      <c r="J92" s="1" t="s">
        <v>7</v>
      </c>
      <c r="K92" s="1" t="s">
        <v>5178</v>
      </c>
      <c r="L92" s="1" t="s">
        <v>5179</v>
      </c>
      <c r="M92" s="1" t="s">
        <v>10</v>
      </c>
      <c r="N92" s="1" t="s">
        <v>10</v>
      </c>
      <c r="O92" s="1" t="s">
        <v>5180</v>
      </c>
      <c r="P92" s="1" t="s">
        <v>5181</v>
      </c>
    </row>
    <row r="93" spans="10:16" ht="15" customHeight="1" x14ac:dyDescent="0.25">
      <c r="J93" s="1" t="s">
        <v>36</v>
      </c>
      <c r="K93" s="1" t="s">
        <v>5182</v>
      </c>
      <c r="L93" s="1" t="s">
        <v>5183</v>
      </c>
      <c r="M93" s="1" t="s">
        <v>10</v>
      </c>
      <c r="N93" s="1" t="s">
        <v>10</v>
      </c>
    </row>
    <row r="94" spans="10:16" ht="15" customHeight="1" x14ac:dyDescent="0.25">
      <c r="J94" s="1" t="s">
        <v>30</v>
      </c>
      <c r="K94" s="1" t="s">
        <v>5184</v>
      </c>
      <c r="L94" s="1" t="s">
        <v>5185</v>
      </c>
      <c r="M94" s="1" t="s">
        <v>10</v>
      </c>
      <c r="N94" s="1" t="s">
        <v>10</v>
      </c>
      <c r="O94" s="1" t="s">
        <v>5186</v>
      </c>
      <c r="P94" s="1" t="s">
        <v>5187</v>
      </c>
    </row>
    <row r="95" spans="10:16" ht="15" customHeight="1" x14ac:dyDescent="0.25">
      <c r="J95" s="1" t="s">
        <v>36</v>
      </c>
      <c r="K95" s="1" t="s">
        <v>5188</v>
      </c>
      <c r="L95" s="1" t="s">
        <v>5189</v>
      </c>
      <c r="M95" s="1" t="s">
        <v>10</v>
      </c>
      <c r="N95" s="1" t="s">
        <v>10</v>
      </c>
      <c r="P95" s="1" t="s">
        <v>5190</v>
      </c>
    </row>
    <row r="96" spans="10:16" ht="15" customHeight="1" x14ac:dyDescent="0.25">
      <c r="J96" s="1" t="s">
        <v>7</v>
      </c>
      <c r="K96" s="1" t="s">
        <v>5191</v>
      </c>
      <c r="L96" s="1" t="s">
        <v>5192</v>
      </c>
      <c r="M96" s="1" t="s">
        <v>10</v>
      </c>
      <c r="N96" s="1" t="s">
        <v>10</v>
      </c>
      <c r="O96" s="1" t="s">
        <v>5193</v>
      </c>
      <c r="P96" s="1" t="s">
        <v>5194</v>
      </c>
    </row>
    <row r="97" spans="10:16" ht="15" customHeight="1" x14ac:dyDescent="0.25">
      <c r="J97" s="1" t="s">
        <v>30</v>
      </c>
      <c r="K97" s="1" t="s">
        <v>5195</v>
      </c>
      <c r="L97" s="1" t="s">
        <v>5196</v>
      </c>
      <c r="M97" s="1" t="s">
        <v>10</v>
      </c>
      <c r="N97" s="1" t="s">
        <v>10</v>
      </c>
      <c r="O97" s="1" t="s">
        <v>5197</v>
      </c>
      <c r="P97" s="1" t="s">
        <v>5198</v>
      </c>
    </row>
    <row r="98" spans="10:16" ht="15" customHeight="1" x14ac:dyDescent="0.25">
      <c r="J98" s="1" t="s">
        <v>30</v>
      </c>
      <c r="K98" s="1" t="s">
        <v>5199</v>
      </c>
      <c r="L98" s="1" t="s">
        <v>5200</v>
      </c>
      <c r="M98" s="1" t="s">
        <v>10</v>
      </c>
      <c r="N98" s="1" t="s">
        <v>10</v>
      </c>
      <c r="O98" s="1" t="s">
        <v>5201</v>
      </c>
      <c r="P98" s="1" t="s">
        <v>5202</v>
      </c>
    </row>
    <row r="99" spans="10:16" ht="15" customHeight="1" x14ac:dyDescent="0.25">
      <c r="J99" s="1" t="s">
        <v>83</v>
      </c>
      <c r="K99" s="1" t="s">
        <v>5203</v>
      </c>
      <c r="L99" s="1" t="s">
        <v>5204</v>
      </c>
      <c r="M99" s="1" t="s">
        <v>10</v>
      </c>
      <c r="N99" s="1" t="s">
        <v>10</v>
      </c>
    </row>
    <row r="100" spans="10:16" ht="15" customHeight="1" x14ac:dyDescent="0.25">
      <c r="J100" s="1" t="s">
        <v>83</v>
      </c>
      <c r="K100" s="1" t="s">
        <v>5205</v>
      </c>
      <c r="L100" s="1" t="s">
        <v>5206</v>
      </c>
      <c r="M100" s="1" t="s">
        <v>10</v>
      </c>
      <c r="N100" s="1" t="s">
        <v>10</v>
      </c>
    </row>
    <row r="101" spans="10:16" ht="15" customHeight="1" x14ac:dyDescent="0.25">
      <c r="J101" s="1" t="s">
        <v>83</v>
      </c>
      <c r="K101" s="1" t="s">
        <v>5207</v>
      </c>
      <c r="L101" s="1" t="s">
        <v>5208</v>
      </c>
      <c r="M101" s="1" t="s">
        <v>10</v>
      </c>
      <c r="N101" s="1" t="s">
        <v>10</v>
      </c>
    </row>
    <row r="102" spans="10:16" ht="15" customHeight="1" x14ac:dyDescent="0.25">
      <c r="J102" s="1" t="s">
        <v>83</v>
      </c>
      <c r="K102" s="1" t="s">
        <v>5209</v>
      </c>
      <c r="L102" s="1" t="s">
        <v>5210</v>
      </c>
      <c r="M102" s="1" t="s">
        <v>10</v>
      </c>
      <c r="N102" s="1" t="s">
        <v>10</v>
      </c>
    </row>
    <row r="103" spans="10:16" ht="15" customHeight="1" x14ac:dyDescent="0.25">
      <c r="J103" s="1" t="s">
        <v>83</v>
      </c>
      <c r="K103" s="1" t="s">
        <v>5211</v>
      </c>
      <c r="L103" s="1" t="s">
        <v>5212</v>
      </c>
      <c r="M103" s="1" t="s">
        <v>10</v>
      </c>
      <c r="N103" s="1" t="s">
        <v>10</v>
      </c>
    </row>
    <row r="104" spans="10:16" ht="15" customHeight="1" x14ac:dyDescent="0.25">
      <c r="J104" s="1" t="s">
        <v>83</v>
      </c>
      <c r="K104" s="1" t="s">
        <v>5213</v>
      </c>
      <c r="L104" s="1" t="s">
        <v>5214</v>
      </c>
      <c r="M104" s="1" t="s">
        <v>10</v>
      </c>
      <c r="N104" s="1" t="s">
        <v>10</v>
      </c>
      <c r="P104" s="1" t="s">
        <v>5215</v>
      </c>
    </row>
    <row r="105" spans="10:16" ht="15" customHeight="1" x14ac:dyDescent="0.25">
      <c r="J105" s="1" t="s">
        <v>83</v>
      </c>
      <c r="K105" s="1" t="s">
        <v>5216</v>
      </c>
      <c r="L105" s="1" t="s">
        <v>5063</v>
      </c>
      <c r="M105" s="1" t="s">
        <v>10</v>
      </c>
      <c r="N105" s="1" t="s">
        <v>10</v>
      </c>
    </row>
    <row r="106" spans="10:16" ht="15" customHeight="1" x14ac:dyDescent="0.25">
      <c r="J106" s="1" t="s">
        <v>572</v>
      </c>
      <c r="K106" s="1" t="s">
        <v>5217</v>
      </c>
      <c r="L106" s="1" t="s">
        <v>5218</v>
      </c>
      <c r="M106" s="1" t="s">
        <v>10</v>
      </c>
      <c r="N106" s="1" t="s">
        <v>10</v>
      </c>
      <c r="O106" s="1" t="s">
        <v>5219</v>
      </c>
      <c r="P106" s="1" t="s">
        <v>5220</v>
      </c>
    </row>
    <row r="107" spans="10:16" ht="15" customHeight="1" x14ac:dyDescent="0.25">
      <c r="J107" s="1" t="s">
        <v>7</v>
      </c>
      <c r="K107" s="1" t="s">
        <v>5221</v>
      </c>
      <c r="L107" s="1" t="s">
        <v>5222</v>
      </c>
      <c r="M107" s="1" t="s">
        <v>10</v>
      </c>
      <c r="N107" s="1" t="s">
        <v>10</v>
      </c>
      <c r="O107" s="1" t="s">
        <v>5223</v>
      </c>
      <c r="P107" s="1" t="s">
        <v>5224</v>
      </c>
    </row>
    <row r="108" spans="10:16" ht="15" customHeight="1" x14ac:dyDescent="0.25">
      <c r="J108" s="1" t="s">
        <v>30</v>
      </c>
      <c r="K108" s="1" t="s">
        <v>5225</v>
      </c>
      <c r="L108" s="1" t="s">
        <v>5226</v>
      </c>
      <c r="M108" s="1" t="s">
        <v>10</v>
      </c>
      <c r="N108" s="1" t="s">
        <v>10</v>
      </c>
      <c r="O108" s="1" t="s">
        <v>5227</v>
      </c>
      <c r="P108" s="1" t="s">
        <v>5228</v>
      </c>
    </row>
    <row r="109" spans="10:16" ht="15" customHeight="1" x14ac:dyDescent="0.25">
      <c r="J109" s="1" t="s">
        <v>7</v>
      </c>
      <c r="K109" s="1" t="s">
        <v>5229</v>
      </c>
      <c r="L109" s="1" t="s">
        <v>5230</v>
      </c>
      <c r="M109" s="1" t="s">
        <v>10</v>
      </c>
      <c r="N109" s="1" t="s">
        <v>10</v>
      </c>
      <c r="O109" s="1" t="s">
        <v>5231</v>
      </c>
      <c r="P109" s="1" t="s">
        <v>5232</v>
      </c>
    </row>
    <row r="110" spans="10:16" ht="15" customHeight="1" x14ac:dyDescent="0.25">
      <c r="J110" s="1" t="s">
        <v>30</v>
      </c>
      <c r="K110" s="1" t="s">
        <v>5233</v>
      </c>
      <c r="L110" s="1" t="s">
        <v>5234</v>
      </c>
      <c r="M110" s="1" t="s">
        <v>10</v>
      </c>
      <c r="N110" s="1" t="s">
        <v>10</v>
      </c>
      <c r="O110" s="1" t="s">
        <v>5235</v>
      </c>
      <c r="P110" s="1" t="s">
        <v>5236</v>
      </c>
    </row>
    <row r="111" spans="10:16" ht="15" customHeight="1" x14ac:dyDescent="0.25">
      <c r="J111" s="1" t="s">
        <v>30</v>
      </c>
      <c r="K111" s="1" t="s">
        <v>5237</v>
      </c>
      <c r="L111" s="1" t="s">
        <v>5238</v>
      </c>
      <c r="M111" s="1" t="s">
        <v>10</v>
      </c>
      <c r="N111" s="1" t="s">
        <v>10</v>
      </c>
    </row>
    <row r="112" spans="10:16" ht="15" customHeight="1" x14ac:dyDescent="0.25">
      <c r="J112" s="1" t="s">
        <v>30</v>
      </c>
      <c r="K112" s="1" t="s">
        <v>5239</v>
      </c>
      <c r="L112" s="1" t="s">
        <v>5240</v>
      </c>
      <c r="M112" s="1" t="s">
        <v>10</v>
      </c>
      <c r="N112" s="1" t="s">
        <v>10</v>
      </c>
      <c r="O112" s="1" t="s">
        <v>5241</v>
      </c>
      <c r="P112" s="1" t="s">
        <v>5242</v>
      </c>
    </row>
    <row r="113" spans="10:16" ht="15" customHeight="1" x14ac:dyDescent="0.25">
      <c r="J113" s="1" t="s">
        <v>30</v>
      </c>
      <c r="K113" s="1" t="s">
        <v>5243</v>
      </c>
      <c r="L113" s="1" t="s">
        <v>5244</v>
      </c>
      <c r="M113" s="1" t="s">
        <v>10</v>
      </c>
      <c r="N113" s="1" t="s">
        <v>10</v>
      </c>
      <c r="O113" s="1" t="s">
        <v>5245</v>
      </c>
      <c r="P113" s="1" t="s">
        <v>5006</v>
      </c>
    </row>
    <row r="114" spans="10:16" ht="15" customHeight="1" x14ac:dyDescent="0.25">
      <c r="J114" s="1" t="s">
        <v>30</v>
      </c>
      <c r="K114" s="1" t="s">
        <v>5246</v>
      </c>
      <c r="L114" s="1" t="s">
        <v>5247</v>
      </c>
      <c r="M114" s="1" t="s">
        <v>10</v>
      </c>
      <c r="N114" s="1" t="s">
        <v>10</v>
      </c>
      <c r="O114" s="1" t="s">
        <v>5248</v>
      </c>
      <c r="P114" s="1" t="s">
        <v>5249</v>
      </c>
    </row>
    <row r="115" spans="10:16" ht="15" customHeight="1" x14ac:dyDescent="0.25">
      <c r="J115" s="1" t="s">
        <v>30</v>
      </c>
      <c r="K115" s="1" t="s">
        <v>5250</v>
      </c>
      <c r="L115" s="1" t="s">
        <v>5144</v>
      </c>
      <c r="M115" s="1" t="s">
        <v>10</v>
      </c>
      <c r="N115" s="1" t="s">
        <v>10</v>
      </c>
      <c r="P115" s="1" t="s">
        <v>5251</v>
      </c>
    </row>
    <row r="116" spans="10:16" ht="15" customHeight="1" x14ac:dyDescent="0.25">
      <c r="J116" s="1" t="s">
        <v>7</v>
      </c>
      <c r="K116" s="1" t="s">
        <v>5252</v>
      </c>
      <c r="L116" s="1" t="s">
        <v>5253</v>
      </c>
      <c r="M116" s="1" t="s">
        <v>10</v>
      </c>
      <c r="N116" s="1" t="s">
        <v>10</v>
      </c>
      <c r="O116" s="1" t="s">
        <v>11</v>
      </c>
      <c r="P116" s="1" t="s">
        <v>12</v>
      </c>
    </row>
    <row r="117" spans="10:16" ht="15" customHeight="1" x14ac:dyDescent="0.25">
      <c r="J117" s="1" t="s">
        <v>7</v>
      </c>
      <c r="K117" s="1" t="s">
        <v>5254</v>
      </c>
      <c r="L117" s="1" t="s">
        <v>5255</v>
      </c>
      <c r="M117" s="1" t="s">
        <v>10</v>
      </c>
      <c r="N117" s="1" t="s">
        <v>5256</v>
      </c>
      <c r="O117" s="1" t="s">
        <v>5257</v>
      </c>
      <c r="P117" s="1" t="s">
        <v>5029</v>
      </c>
    </row>
    <row r="118" spans="10:16" ht="15" customHeight="1" x14ac:dyDescent="0.25">
      <c r="J118" s="1" t="s">
        <v>36</v>
      </c>
      <c r="K118" s="1" t="s">
        <v>5258</v>
      </c>
      <c r="L118" s="1" t="s">
        <v>5259</v>
      </c>
      <c r="M118" s="1" t="s">
        <v>10</v>
      </c>
      <c r="N118" s="1" t="s">
        <v>10</v>
      </c>
      <c r="O118" s="1" t="s">
        <v>5260</v>
      </c>
      <c r="P118" s="1" t="s">
        <v>5261</v>
      </c>
    </row>
    <row r="119" spans="10:16" ht="15" customHeight="1" x14ac:dyDescent="0.25">
      <c r="J119" s="1" t="s">
        <v>36</v>
      </c>
      <c r="K119" s="1" t="s">
        <v>5262</v>
      </c>
      <c r="L119" s="1" t="s">
        <v>5263</v>
      </c>
      <c r="M119" s="1" t="s">
        <v>10</v>
      </c>
      <c r="N119" s="1" t="s">
        <v>10</v>
      </c>
      <c r="O119" s="1" t="s">
        <v>5264</v>
      </c>
      <c r="P119" s="1" t="s">
        <v>5265</v>
      </c>
    </row>
    <row r="120" spans="10:16" ht="15" customHeight="1" x14ac:dyDescent="0.25">
      <c r="J120" s="1" t="s">
        <v>7</v>
      </c>
      <c r="K120" s="1" t="s">
        <v>5266</v>
      </c>
      <c r="L120" s="1" t="s">
        <v>5267</v>
      </c>
      <c r="M120" s="1" t="s">
        <v>10</v>
      </c>
      <c r="N120" s="1" t="s">
        <v>10</v>
      </c>
      <c r="O120" s="1" t="s">
        <v>5268</v>
      </c>
      <c r="P120" s="1" t="s">
        <v>5269</v>
      </c>
    </row>
    <row r="121" spans="10:16" ht="15" customHeight="1" x14ac:dyDescent="0.25">
      <c r="J121" s="1" t="s">
        <v>7</v>
      </c>
      <c r="K121" s="1" t="s">
        <v>5270</v>
      </c>
      <c r="L121" s="1" t="s">
        <v>5271</v>
      </c>
      <c r="M121" s="1" t="s">
        <v>10</v>
      </c>
      <c r="N121" s="1" t="s">
        <v>10</v>
      </c>
      <c r="O121" s="1" t="s">
        <v>5272</v>
      </c>
      <c r="P121" s="1" t="s">
        <v>5273</v>
      </c>
    </row>
    <row r="122" spans="10:16" ht="15" customHeight="1" x14ac:dyDescent="0.25">
      <c r="J122" s="1" t="s">
        <v>7</v>
      </c>
      <c r="K122" s="1" t="s">
        <v>5274</v>
      </c>
      <c r="L122" s="1" t="s">
        <v>5275</v>
      </c>
      <c r="M122" s="1" t="s">
        <v>10</v>
      </c>
      <c r="N122" s="1" t="s">
        <v>10</v>
      </c>
      <c r="P122" s="1" t="s">
        <v>5276</v>
      </c>
    </row>
    <row r="123" spans="10:16" ht="15" customHeight="1" x14ac:dyDescent="0.25">
      <c r="J123" s="1" t="s">
        <v>7</v>
      </c>
      <c r="K123" s="1" t="s">
        <v>5277</v>
      </c>
      <c r="L123" s="1" t="s">
        <v>5278</v>
      </c>
      <c r="M123" s="1" t="s">
        <v>10</v>
      </c>
      <c r="N123" s="1" t="s">
        <v>10</v>
      </c>
      <c r="P123" s="1" t="s">
        <v>5279</v>
      </c>
    </row>
    <row r="124" spans="10:16" ht="15" customHeight="1" x14ac:dyDescent="0.25">
      <c r="J124" s="1" t="s">
        <v>7</v>
      </c>
      <c r="K124" s="1" t="s">
        <v>5280</v>
      </c>
      <c r="L124" s="1" t="s">
        <v>5281</v>
      </c>
      <c r="M124" s="1" t="s">
        <v>10</v>
      </c>
      <c r="N124" s="1" t="s">
        <v>10</v>
      </c>
    </row>
    <row r="125" spans="10:16" ht="15" customHeight="1" x14ac:dyDescent="0.25">
      <c r="J125" s="1" t="s">
        <v>7</v>
      </c>
      <c r="K125" s="1" t="s">
        <v>5282</v>
      </c>
      <c r="L125" s="1" t="s">
        <v>5283</v>
      </c>
      <c r="M125" s="1" t="s">
        <v>10</v>
      </c>
      <c r="N125" s="1" t="s">
        <v>10</v>
      </c>
      <c r="P125" s="1" t="s">
        <v>5284</v>
      </c>
    </row>
    <row r="126" spans="10:16" ht="15" customHeight="1" x14ac:dyDescent="0.25">
      <c r="J126" s="1" t="s">
        <v>30</v>
      </c>
      <c r="K126" s="1" t="s">
        <v>5285</v>
      </c>
      <c r="L126" s="1" t="s">
        <v>5286</v>
      </c>
      <c r="M126" s="1" t="s">
        <v>10</v>
      </c>
      <c r="N126" s="1" t="s">
        <v>10</v>
      </c>
      <c r="O126" s="1" t="s">
        <v>5287</v>
      </c>
      <c r="P126" s="1" t="s">
        <v>5288</v>
      </c>
    </row>
    <row r="127" spans="10:16" ht="15" customHeight="1" x14ac:dyDescent="0.25">
      <c r="J127" s="1" t="s">
        <v>30</v>
      </c>
      <c r="K127" s="1" t="s">
        <v>5289</v>
      </c>
      <c r="L127" s="1" t="s">
        <v>5290</v>
      </c>
      <c r="M127" s="1" t="s">
        <v>10</v>
      </c>
      <c r="O127" s="1" t="s">
        <v>5291</v>
      </c>
      <c r="P127" s="1" t="s">
        <v>5292</v>
      </c>
    </row>
    <row r="128" spans="10:16" ht="15" customHeight="1" x14ac:dyDescent="0.25">
      <c r="J128" s="1" t="s">
        <v>30</v>
      </c>
      <c r="K128" s="1" t="s">
        <v>5293</v>
      </c>
      <c r="L128" s="1" t="s">
        <v>5294</v>
      </c>
      <c r="M128" s="1" t="s">
        <v>10</v>
      </c>
      <c r="N128" s="1" t="s">
        <v>10</v>
      </c>
      <c r="O128" s="1" t="s">
        <v>5295</v>
      </c>
      <c r="P128" s="1" t="s">
        <v>5296</v>
      </c>
    </row>
    <row r="129" spans="10:16" ht="15" customHeight="1" x14ac:dyDescent="0.25">
      <c r="J129" s="1" t="s">
        <v>30</v>
      </c>
      <c r="K129" s="1" t="s">
        <v>5297</v>
      </c>
      <c r="L129" s="1" t="s">
        <v>5298</v>
      </c>
      <c r="M129" s="1" t="s">
        <v>10</v>
      </c>
      <c r="N129" s="1" t="s">
        <v>10</v>
      </c>
      <c r="O129" s="1" t="s">
        <v>5299</v>
      </c>
      <c r="P129" s="1" t="s">
        <v>5300</v>
      </c>
    </row>
    <row r="130" spans="10:16" ht="15" customHeight="1" x14ac:dyDescent="0.25">
      <c r="J130" s="1" t="s">
        <v>30</v>
      </c>
      <c r="K130" s="1" t="s">
        <v>5301</v>
      </c>
      <c r="L130" s="1" t="s">
        <v>5302</v>
      </c>
      <c r="M130" s="1" t="s">
        <v>10</v>
      </c>
      <c r="N130" s="1" t="s">
        <v>10</v>
      </c>
    </row>
    <row r="131" spans="10:16" ht="15" customHeight="1" x14ac:dyDescent="0.25">
      <c r="J131" s="1" t="s">
        <v>30</v>
      </c>
      <c r="K131" s="1" t="s">
        <v>5303</v>
      </c>
      <c r="L131" s="1" t="s">
        <v>5304</v>
      </c>
      <c r="M131" s="1" t="s">
        <v>10</v>
      </c>
      <c r="N131" s="1" t="s">
        <v>10</v>
      </c>
      <c r="O131" s="1" t="s">
        <v>5305</v>
      </c>
      <c r="P131" s="1" t="s">
        <v>5306</v>
      </c>
    </row>
    <row r="132" spans="10:16" ht="15" customHeight="1" x14ac:dyDescent="0.25">
      <c r="J132" s="1" t="s">
        <v>30</v>
      </c>
      <c r="K132" s="1" t="s">
        <v>5307</v>
      </c>
      <c r="L132" s="1" t="s">
        <v>5308</v>
      </c>
      <c r="M132" s="1" t="s">
        <v>10</v>
      </c>
      <c r="N132" s="1" t="s">
        <v>10</v>
      </c>
      <c r="P132" s="1" t="s">
        <v>5309</v>
      </c>
    </row>
    <row r="133" spans="10:16" ht="15" customHeight="1" x14ac:dyDescent="0.25">
      <c r="J133" s="1" t="s">
        <v>36</v>
      </c>
      <c r="K133" s="1" t="s">
        <v>5310</v>
      </c>
      <c r="L133" s="1" t="s">
        <v>5311</v>
      </c>
      <c r="M133" s="1" t="s">
        <v>10</v>
      </c>
      <c r="P133" s="1" t="s">
        <v>5312</v>
      </c>
    </row>
    <row r="134" spans="10:16" ht="15" customHeight="1" x14ac:dyDescent="0.25">
      <c r="J134" s="1" t="s">
        <v>13</v>
      </c>
      <c r="K134" s="1" t="s">
        <v>5313</v>
      </c>
      <c r="M134" s="1" t="s">
        <v>10</v>
      </c>
      <c r="P134" s="1" t="s">
        <v>5314</v>
      </c>
    </row>
    <row r="135" spans="10:16" ht="15" customHeight="1" x14ac:dyDescent="0.25">
      <c r="J135" s="1" t="s">
        <v>404</v>
      </c>
      <c r="K135" s="1" t="s">
        <v>5315</v>
      </c>
      <c r="L135" s="1" t="s">
        <v>5316</v>
      </c>
      <c r="M135" s="1" t="s">
        <v>10</v>
      </c>
      <c r="N135" s="1" t="s">
        <v>10</v>
      </c>
      <c r="P135" s="1" t="s">
        <v>5317</v>
      </c>
    </row>
    <row r="136" spans="10:16" ht="15" customHeight="1" x14ac:dyDescent="0.25">
      <c r="J136" s="1" t="s">
        <v>30</v>
      </c>
      <c r="K136" s="1" t="s">
        <v>5318</v>
      </c>
      <c r="L136" s="1" t="s">
        <v>5319</v>
      </c>
      <c r="M136" s="1" t="s">
        <v>10</v>
      </c>
      <c r="N136" s="1" t="s">
        <v>5320</v>
      </c>
      <c r="P136" s="1" t="s">
        <v>5321</v>
      </c>
    </row>
    <row r="137" spans="10:16" ht="15" customHeight="1" x14ac:dyDescent="0.25">
      <c r="J137" s="1" t="s">
        <v>30</v>
      </c>
      <c r="K137" s="1" t="s">
        <v>5322</v>
      </c>
      <c r="L137" s="1" t="s">
        <v>5323</v>
      </c>
      <c r="M137" s="1" t="s">
        <v>10</v>
      </c>
      <c r="N137" s="1" t="s">
        <v>5324</v>
      </c>
      <c r="P137" s="1" t="s">
        <v>5325</v>
      </c>
    </row>
    <row r="138" spans="10:16" ht="15" customHeight="1" x14ac:dyDescent="0.25">
      <c r="J138" s="1" t="s">
        <v>30</v>
      </c>
      <c r="K138" s="1" t="s">
        <v>5326</v>
      </c>
      <c r="L138" s="1" t="s">
        <v>5327</v>
      </c>
      <c r="M138" s="1" t="s">
        <v>10</v>
      </c>
      <c r="P138" s="1" t="s">
        <v>5328</v>
      </c>
    </row>
    <row r="139" spans="10:16" ht="15" customHeight="1" x14ac:dyDescent="0.25">
      <c r="J139" s="1" t="s">
        <v>30</v>
      </c>
      <c r="K139" s="1" t="s">
        <v>5329</v>
      </c>
      <c r="L139" s="1" t="s">
        <v>5330</v>
      </c>
      <c r="M139" s="1" t="s">
        <v>10</v>
      </c>
      <c r="P139" s="1" t="s">
        <v>5331</v>
      </c>
    </row>
    <row r="140" spans="10:16" ht="15" customHeight="1" x14ac:dyDescent="0.25">
      <c r="J140" s="1" t="s">
        <v>30</v>
      </c>
      <c r="K140" s="1" t="s">
        <v>5332</v>
      </c>
      <c r="L140" s="1" t="s">
        <v>5333</v>
      </c>
      <c r="M140" s="1" t="s">
        <v>10</v>
      </c>
      <c r="N140" s="1" t="s">
        <v>5334</v>
      </c>
      <c r="P140" s="1" t="s">
        <v>5335</v>
      </c>
    </row>
    <row r="141" spans="10:16" ht="15" customHeight="1" x14ac:dyDescent="0.25">
      <c r="J141" s="1" t="s">
        <v>30</v>
      </c>
      <c r="K141" s="1" t="s">
        <v>5336</v>
      </c>
      <c r="L141" s="1" t="s">
        <v>5337</v>
      </c>
      <c r="M141" s="1" t="s">
        <v>10</v>
      </c>
      <c r="P141" s="1" t="s">
        <v>854</v>
      </c>
    </row>
    <row r="142" spans="10:16" ht="15" customHeight="1" x14ac:dyDescent="0.25">
      <c r="J142" s="1" t="s">
        <v>30</v>
      </c>
      <c r="K142" s="1" t="s">
        <v>5338</v>
      </c>
      <c r="L142" s="1" t="s">
        <v>5339</v>
      </c>
      <c r="M142" s="1" t="s">
        <v>10</v>
      </c>
      <c r="N142" s="1" t="s">
        <v>10</v>
      </c>
      <c r="O142" s="1" t="s">
        <v>5340</v>
      </c>
      <c r="P142" s="1" t="s">
        <v>5341</v>
      </c>
    </row>
    <row r="143" spans="10:16" ht="15" customHeight="1" x14ac:dyDescent="0.25">
      <c r="J143" s="1" t="s">
        <v>30</v>
      </c>
      <c r="K143" s="1" t="s">
        <v>5342</v>
      </c>
      <c r="L143" s="1" t="s">
        <v>5343</v>
      </c>
      <c r="M143" s="1" t="s">
        <v>10</v>
      </c>
      <c r="N143" s="1" t="s">
        <v>10</v>
      </c>
      <c r="P143" s="1" t="s">
        <v>5344</v>
      </c>
    </row>
    <row r="144" spans="10:16" ht="15" customHeight="1" x14ac:dyDescent="0.25">
      <c r="J144" s="1" t="s">
        <v>30</v>
      </c>
      <c r="K144" s="1" t="s">
        <v>5345</v>
      </c>
      <c r="L144" s="1" t="s">
        <v>5346</v>
      </c>
      <c r="M144" s="1" t="s">
        <v>10</v>
      </c>
      <c r="N144" s="1" t="s">
        <v>10</v>
      </c>
      <c r="O144" s="1" t="s">
        <v>5347</v>
      </c>
      <c r="P144" s="1" t="s">
        <v>5348</v>
      </c>
    </row>
    <row r="145" spans="10:16" ht="15" customHeight="1" x14ac:dyDescent="0.25">
      <c r="J145" s="1" t="s">
        <v>30</v>
      </c>
      <c r="K145" s="1" t="s">
        <v>5349</v>
      </c>
      <c r="L145" s="1" t="s">
        <v>5350</v>
      </c>
      <c r="M145" s="1" t="s">
        <v>10</v>
      </c>
      <c r="N145" s="1" t="s">
        <v>10</v>
      </c>
      <c r="P145" s="1" t="s">
        <v>5351</v>
      </c>
    </row>
    <row r="146" spans="10:16" ht="15" customHeight="1" x14ac:dyDescent="0.25">
      <c r="J146" s="1" t="s">
        <v>7</v>
      </c>
      <c r="K146" s="1" t="s">
        <v>5352</v>
      </c>
      <c r="L146" s="1" t="s">
        <v>5353</v>
      </c>
      <c r="M146" s="1" t="s">
        <v>10</v>
      </c>
      <c r="N146" s="1" t="s">
        <v>10</v>
      </c>
      <c r="P146" s="1" t="s">
        <v>5354</v>
      </c>
    </row>
    <row r="147" spans="10:16" ht="15" customHeight="1" x14ac:dyDescent="0.25">
      <c r="J147" s="1" t="s">
        <v>30</v>
      </c>
      <c r="K147" s="1" t="s">
        <v>5355</v>
      </c>
      <c r="L147" s="1" t="s">
        <v>5356</v>
      </c>
      <c r="M147" s="1" t="s">
        <v>10</v>
      </c>
      <c r="N147" s="1" t="s">
        <v>10</v>
      </c>
      <c r="P147" s="1" t="s">
        <v>5357</v>
      </c>
    </row>
  </sheetData>
  <sortState xmlns:xlrd2="http://schemas.microsoft.com/office/spreadsheetml/2017/richdata2" ref="E4:F18">
    <sortCondition descending="1" ref="F3:F18"/>
  </sortState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D17C5C-43F6-4E78-8F81-06F88EBE92F3}">
          <x14:formula1>
            <xm:f>'Strutture ricettive'!$B$2:$B$6259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9</vt:i4>
      </vt:variant>
    </vt:vector>
  </HeadingPairs>
  <TitlesOfParts>
    <vt:vector size="11" baseType="lpstr">
      <vt:lpstr>Strutture ricettive</vt:lpstr>
      <vt:lpstr>RICERCA</vt:lpstr>
      <vt:lpstr>Categoria</vt:lpstr>
      <vt:lpstr>Città</vt:lpstr>
      <vt:lpstr>RICERCA!Criteri</vt:lpstr>
      <vt:lpstr>Denominazione</vt:lpstr>
      <vt:lpstr>RICERCA!Estrai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george ciobotaru</cp:lastModifiedBy>
  <dcterms:created xsi:type="dcterms:W3CDTF">2006-09-16T00:00:00Z</dcterms:created>
  <dcterms:modified xsi:type="dcterms:W3CDTF">2026-07-27T20:36:48Z</dcterms:modified>
</cp:coreProperties>
</file>